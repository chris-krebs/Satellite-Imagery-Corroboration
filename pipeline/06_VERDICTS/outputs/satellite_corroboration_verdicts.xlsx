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ak points" sheetId="2" state="visible" r:id="rId4"/>
    <sheet name="Corrections" sheetId="3" state="visible" r:id="rId5"/>
    <sheet name="Rules" sheetId="4" state="visible" r:id="rId6"/>
    <sheet name="Verdic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<sst xmlns="http://schemas.openxmlformats.org/spreadsheetml/2006/main" count="1753" uniqueCount="503">
  <si>
    <t xml:space="preserve">Satellite corroboration — stage 6 verdicts</t>
  </si>
  <si>
    <t xml:space="preserve">All counts are formulas over the Verdicts sheet (100 events, rules fixed 28 Oct 2026). 'Observable' = events with a site point, excluding 'not observable'. 95% intervals: Wilson.</t>
  </si>
  <si>
    <t xml:space="preserve">Site level</t>
  </si>
  <si>
    <t xml:space="preserve">Split</t>
  </si>
  <si>
    <t xml:space="preserve">Events corroborated</t>
  </si>
  <si>
    <t xml:space="preserve">Observable events</t>
  </si>
  <si>
    <t xml:space="preserve">Rate</t>
  </si>
  <si>
    <t xml:space="preserve">95% low</t>
  </si>
  <si>
    <t xml:space="preserve">95% high</t>
  </si>
  <si>
    <t xml:space="preserve">Controls 'corroborated'</t>
  </si>
  <si>
    <t xml:space="preserve">Controls</t>
  </si>
  <si>
    <t xml:space="preserve">False-alarm rate</t>
  </si>
  <si>
    <t xml:space="preserve">Test half</t>
  </si>
  <si>
    <t xml:space="preserve">Calibration half</t>
  </si>
  <si>
    <t xml:space="preserve">All</t>
  </si>
  <si>
    <t xml:space="preserve">All, without the 2 image-only cases</t>
  </si>
  <si>
    <t xml:space="preserve">Engels E021 and Norfolk Southern E038 rest on one image label each</t>
  </si>
  <si>
    <t xml:space="preserve">Site-level verdict counts</t>
  </si>
  <si>
    <t xml:space="preserve">Group</t>
  </si>
  <si>
    <t xml:space="preserve">corroborated</t>
  </si>
  <si>
    <t xml:space="preserve">ambiguous_attribution</t>
  </si>
  <si>
    <t xml:space="preserve">weak</t>
  </si>
  <si>
    <t xml:space="preserve">not_observable</t>
  </si>
  <si>
    <t xml:space="preserve">not_corroborated</t>
  </si>
  <si>
    <t xml:space="preserve">not_assessable_no_site</t>
  </si>
  <si>
    <t xml:space="preserve">Total</t>
  </si>
  <si>
    <t xml:space="preserve">Events</t>
  </si>
  <si>
    <t xml:space="preserve">Site level by category (all splits)</t>
  </si>
  <si>
    <t xml:space="preserve">Category</t>
  </si>
  <si>
    <t xml:space="preserve">Corroborated</t>
  </si>
  <si>
    <t xml:space="preserve">Observable</t>
  </si>
  <si>
    <t xml:space="preserve">Not observable</t>
  </si>
  <si>
    <t xml:space="preserve">No site point</t>
  </si>
  <si>
    <t xml:space="preserve">industrial_fire</t>
  </si>
  <si>
    <t xml:space="preserve">port_ship_fire</t>
  </si>
  <si>
    <t xml:space="preserve">large_outdoor_fire</t>
  </si>
  <si>
    <t xml:space="preserve">small_or_indoor</t>
  </si>
  <si>
    <t xml:space="preserve">City level (city point only, no outline, no flare filter)</t>
  </si>
  <si>
    <t xml:space="preserve">City-level corroborated</t>
  </si>
  <si>
    <t xml:space="preserve">All events</t>
  </si>
  <si>
    <t xml:space="preserve">Events without a site point</t>
  </si>
  <si>
    <t xml:space="preserve">Site vs city, events with a site point</t>
  </si>
  <si>
    <t xml:space="preserve">City corroborated</t>
  </si>
  <si>
    <t xml:space="preserve">City not corroborated</t>
  </si>
  <si>
    <t xml:space="preserve">Site corroborated</t>
  </si>
  <si>
    <t xml:space="preserve">Site not corroborated (any other verdict)</t>
  </si>
  <si>
    <t xml:space="preserve">On the same events, the site check confirms the D total of the first row; the city check confirms the B column total.</t>
  </si>
  <si>
    <t xml:space="preserve">Weak points to defend</t>
  </si>
  <si>
    <t xml:space="preserve">#</t>
  </si>
  <si>
    <t xml:space="preserve">Issue</t>
  </si>
  <si>
    <t xml:space="preserve">Effect on the numbers</t>
  </si>
  <si>
    <t xml:space="preserve">What would fix it</t>
  </si>
  <si>
    <t xml:space="preserve">One rule changed after seeing results. Volgograd E002 first came out 'weak': its only FIRMS signal was the separate attack 3 days later, after the timing window. The attribution check now also applies to late signals; E002 is 'not observable'. Recorded in verdict_rules.json.</t>
  </si>
  <si>
    <t xml:space="preserve">Rules were written after seeing E002 (test half): call test-half numbers semi-blind.</t>
  </si>
  <si>
    <t xml:space="preserve">Fresh events labelled after the rules were fixed.</t>
  </si>
  <si>
    <t xml:space="preserve">Two events confirmed by an image alone: Engels E021 (no clear image before; panel seen before labelling) and Norfolk Southern E038 ('active fire' on an image the cloud mask rates 99.5% cloud, plausibly smoke).</t>
  </si>
  <si>
    <t xml:space="preserve">Without them: 15 of 37 instead of 17 of 37 (see Summary).</t>
  </si>
  <si>
    <t xml:space="preserve">A second, independent labeller; a clear before image.</t>
  </si>
  <si>
    <t xml:space="preserve">'Not observable' uses one daytime Sentinel-2 image (around 10:30 local) as a cloud proxy for the whole window; FIRMS also passes at night.</t>
  </si>
  <si>
    <t xml:space="preserve">Some 'not observable' could be real misses, or the reverse.</t>
  </si>
  <si>
    <t xml:space="preserve">Open-Meteo hourly cloud cover at each overpass time.</t>
  </si>
  <si>
    <t xml:space="preserve">Only 26 controls.</t>
  </si>
  <si>
    <t xml:space="preserve">0 of 26 bounds the false-alarm rate to below about 13% (95%), not to zero.</t>
  </si>
  <si>
    <t xml:space="preserve">More controls.</t>
  </si>
  <si>
    <t xml:space="preserve">Corrections to earlier statements</t>
  </si>
  <si>
    <t xml:space="preserve">Case</t>
  </si>
  <si>
    <t xml:space="preserve">Said earlier</t>
  </si>
  <si>
    <t xml:space="preserve">Now</t>
  </si>
  <si>
    <t xml:space="preserve">Evidence</t>
  </si>
  <si>
    <t xml:space="preserve">Proletarsk E019</t>
  </si>
  <si>
    <t xml:space="preserve">City-level background problem (stubble burning, about 10 detections per 5 days)</t>
  </si>
  <si>
    <t xml:space="preserve">The city check confirms it</t>
  </si>
  <si>
    <t xml:space="preserve">18 satellite passes with heat within 10 km vs 1.8 expected from the town's own 30-day baseline</t>
  </si>
  <si>
    <t xml:space="preserve">Kstovo E016</t>
  </si>
  <si>
    <t xml:space="preserve">(not singled out)</t>
  </si>
  <si>
    <t xml:space="preserve">The real city-level false positive</t>
  </si>
  <si>
    <t xml:space="preserve">City check says yes from heat 2-4 km from the refinery that was already there the day before; the refinery itself was under cloud</t>
  </si>
  <si>
    <t xml:space="preserve">Verdict rules (06_VERDICTS/data/verdict_rules.json)</t>
  </si>
  <si>
    <t xml:space="preserve">Verdict / rule</t>
  </si>
  <si>
    <t xml:space="preserve">Meaning</t>
  </si>
  <si>
    <t xml:space="preserve">Timing window</t>
  </si>
  <si>
    <t xml:space="preserve">FIRMS signal must start between -3 h and +36 h (hour-precise events), or -12 h and +48 h from 00:00 UTC of the date (day-precise).</t>
  </si>
  <si>
    <t xml:space="preserve">FIRMS signal (stage 05: new or anomalous, at the site) in the window and not explained by another incident; or a blind image label (fire, smoke, new damage) at a site without flares.</t>
  </si>
  <si>
    <t xml:space="preserve">The signal starts after another known incident at the same site (up to 4 days after the event).</t>
  </si>
  <si>
    <t xml:space="preserve">Image 'fire' at a site with flares, or FIRMS signal only after the window (and not explained by another incident).</t>
  </si>
  <si>
    <t xml:space="preserve">Nothing found, and the site was at least 90% cloud in the first Sentinel-2 image after with no clear image within 5 days; or FIRMS data incomplete.</t>
  </si>
  <si>
    <t xml:space="preserve">Nothing found although the data were there.</t>
  </si>
  <si>
    <t xml:space="preserve">No site point (kept blank on purpose): only the city-level verdict applies.</t>
  </si>
  <si>
    <t xml:space="preserve">City level</t>
  </si>
  <si>
    <t xml:space="preserve">Distinct satellite passes with a raw FIRMS detection within 10 km of the city point in the window, vs the area's own 30-day baseline; corroborated if Poisson p &lt; 0.01.</t>
  </si>
  <si>
    <t xml:space="preserve">event_id</t>
  </si>
  <si>
    <t xml:space="preserve">site_id</t>
  </si>
  <si>
    <t xml:space="preserve">split</t>
  </si>
  <si>
    <t xml:space="preserve">category</t>
  </si>
  <si>
    <t xml:space="preserve">place_name</t>
  </si>
  <si>
    <t xml:space="preserve">event_time_utc</t>
  </si>
  <si>
    <t xml:space="preserve">time_precision</t>
  </si>
  <si>
    <t xml:space="preserve">ground_truth</t>
  </si>
  <si>
    <t xml:space="preserve">site_verdict</t>
  </si>
  <si>
    <t xml:space="preserve">site_evidence</t>
  </si>
  <si>
    <t xml:space="preserve">site_reason</t>
  </si>
  <si>
    <t xml:space="preserve">signal_source</t>
  </si>
  <si>
    <t xml:space="preserve">flare_site</t>
  </si>
  <si>
    <t xml:space="preserve">visual_label</t>
  </si>
  <si>
    <t xml:space="preserve">visual_seen_before</t>
  </si>
  <si>
    <t xml:space="preserve">s2_status</t>
  </si>
  <si>
    <t xml:space="preserve">firms_complete</t>
  </si>
  <si>
    <t xml:space="preserve">city_verdict</t>
  </si>
  <si>
    <t xml:space="preserve">city_overpasses_in_window</t>
  </si>
  <si>
    <t xml:space="preserve">city_expected_from_baseline</t>
  </si>
  <si>
    <t xml:space="preserve">city_p_value</t>
  </si>
  <si>
    <t xml:space="preserve">E001</t>
  </si>
  <si>
    <t xml:space="preserve">S01</t>
  </si>
  <si>
    <t xml:space="preserve">test</t>
  </si>
  <si>
    <t xml:space="preserve">Matanzas supertanker base (oil terminal)</t>
  </si>
  <si>
    <t xml:space="preserve">2022-08-05</t>
  </si>
  <si>
    <t xml:space="preserve">day</t>
  </si>
  <si>
    <t xml:space="preserve">confirmed</t>
  </si>
  <si>
    <t xml:space="preserve">FIRMS+image</t>
  </si>
  <si>
    <t xml:space="preserve">FIRMS signal from +30.9 h (6 detections in window); image labelled active_fire</t>
  </si>
  <si>
    <t xml:space="preserve">05 filtered</t>
  </si>
  <si>
    <t xml:space="preserve">False</t>
  </si>
  <si>
    <t xml:space="preserve">active_fire</t>
  </si>
  <si>
    <t xml:space="preserve">ok</t>
  </si>
  <si>
    <t xml:space="preserve">True</t>
  </si>
  <si>
    <t xml:space="preserve">E002</t>
  </si>
  <si>
    <t xml:space="preserve">S02</t>
  </si>
  <si>
    <t xml:space="preserve">Volgograd refinery (Lukoil)</t>
  </si>
  <si>
    <t xml:space="preserve">2025-01-31</t>
  </si>
  <si>
    <t xml:space="preserve">FIRMS signal only from +71 h, after another incident at the site (incident 2025-02-03); not counted; site 100% cloud in the first Sentinel-2 image after; first clear image +10 d</t>
  </si>
  <si>
    <t xml:space="preserve">nothing_visible</t>
  </si>
  <si>
    <t xml:space="preserve">E003</t>
  </si>
  <si>
    <t xml:space="preserve">2025-10-15</t>
  </si>
  <si>
    <t xml:space="preserve">no signal although data were available</t>
  </si>
  <si>
    <t xml:space="preserve">E004</t>
  </si>
  <si>
    <t xml:space="preserve">S03</t>
  </si>
  <si>
    <t xml:space="preserve">calibration</t>
  </si>
  <si>
    <t xml:space="preserve">Moscow refinery (Gazprom Neft, Kapotnya)</t>
  </si>
  <si>
    <t xml:space="preserve">2024-09-01</t>
  </si>
  <si>
    <t xml:space="preserve">E005</t>
  </si>
  <si>
    <t xml:space="preserve">2026-06-18</t>
  </si>
  <si>
    <t xml:space="preserve">no_clear_before</t>
  </si>
  <si>
    <t xml:space="preserve">E006</t>
  </si>
  <si>
    <t xml:space="preserve">S04</t>
  </si>
  <si>
    <t xml:space="preserve">Yaroslavl refinery (Slavneft-YANOS)</t>
  </si>
  <si>
    <t xml:space="preserve">2026-03-28</t>
  </si>
  <si>
    <t xml:space="preserve">FIRMS</t>
  </si>
  <si>
    <t xml:space="preserve">FIRMS signal from +0.0 h (13 detections in window)</t>
  </si>
  <si>
    <t xml:space="preserve">E007</t>
  </si>
  <si>
    <t xml:space="preserve">S05</t>
  </si>
  <si>
    <t xml:space="preserve">Kirishi refinery (KINEF)</t>
  </si>
  <si>
    <t xml:space="preserve">2024-03-13</t>
  </si>
  <si>
    <t xml:space="preserve">site 100% cloud in the first Sentinel-2 image after; first clear image never</t>
  </si>
  <si>
    <t xml:space="preserve">no_clear_after</t>
  </si>
  <si>
    <t xml:space="preserve">E008</t>
  </si>
  <si>
    <t xml:space="preserve">2025-10-04</t>
  </si>
  <si>
    <t xml:space="preserve">FIRMS signal from +0.1 h (2 detections in window)</t>
  </si>
  <si>
    <t xml:space="preserve">not_assessable</t>
  </si>
  <si>
    <t xml:space="preserve">E009</t>
  </si>
  <si>
    <t xml:space="preserve">S06</t>
  </si>
  <si>
    <t xml:space="preserve">Ryazan refinery (Rosneft)</t>
  </si>
  <si>
    <t xml:space="preserve">2024-05-01</t>
  </si>
  <si>
    <t xml:space="preserve">E010</t>
  </si>
  <si>
    <t xml:space="preserve">2025-09-05</t>
  </si>
  <si>
    <t xml:space="preserve">FIRMS signal from +1.2 h (4 detections in window)</t>
  </si>
  <si>
    <t xml:space="preserve">E011</t>
  </si>
  <si>
    <t xml:space="preserve">2026-05-15</t>
  </si>
  <si>
    <t xml:space="preserve">FIRMS signal from +9.1 h (4 detections in window); image labelled active_fire at a site with flares (weak)</t>
  </si>
  <si>
    <t xml:space="preserve">E012</t>
  </si>
  <si>
    <t xml:space="preserve">S07</t>
  </si>
  <si>
    <t xml:space="preserve">Tuapse refinery (Rosneft)</t>
  </si>
  <si>
    <t xml:space="preserve">2024-01-25</t>
  </si>
  <si>
    <t xml:space="preserve">E013</t>
  </si>
  <si>
    <t xml:space="preserve">2024-05-17</t>
  </si>
  <si>
    <t xml:space="preserve">E014</t>
  </si>
  <si>
    <t xml:space="preserve">S08</t>
  </si>
  <si>
    <t xml:space="preserve">Perm refinery (Lukoil-Permnefteorgsintez)</t>
  </si>
  <si>
    <t xml:space="preserve">2026-04-29</t>
  </si>
  <si>
    <t xml:space="preserve">E015</t>
  </si>
  <si>
    <t xml:space="preserve">S09</t>
  </si>
  <si>
    <t xml:space="preserve">Kstovo refinery (Lukoil-NORSI)</t>
  </si>
  <si>
    <t xml:space="preserve">2025-01-29</t>
  </si>
  <si>
    <t xml:space="preserve">site 100% cloud in the first Sentinel-2 image after; first clear image +8 d</t>
  </si>
  <si>
    <t xml:space="preserve">E016</t>
  </si>
  <si>
    <t xml:space="preserve">2026-05-20</t>
  </si>
  <si>
    <t xml:space="preserve">site 100% cloud in the first Sentinel-2 image after; first clear image +14 d</t>
  </si>
  <si>
    <t xml:space="preserve">E017</t>
  </si>
  <si>
    <t xml:space="preserve">S10</t>
  </si>
  <si>
    <t xml:space="preserve">Toropets arsenal (GRAU 107th depot)</t>
  </si>
  <si>
    <t xml:space="preserve">2024-09-18T00:56Z</t>
  </si>
  <si>
    <t xml:space="preserve">hour</t>
  </si>
  <si>
    <t xml:space="preserve">FIRMS signal from -0.9 h (512 detections in window); image labelled active_fire (image seen before labelling)</t>
  </si>
  <si>
    <t xml:space="preserve">E018</t>
  </si>
  <si>
    <t xml:space="preserve">S11</t>
  </si>
  <si>
    <t xml:space="preserve">Feodosia marine oil terminal</t>
  </si>
  <si>
    <t xml:space="preserve">2024-10-07</t>
  </si>
  <si>
    <t xml:space="preserve">no site point (kept blank on purpose)</t>
  </si>
  <si>
    <t xml:space="preserve">skipped_no_site_point</t>
  </si>
  <si>
    <t xml:space="preserve">E019</t>
  </si>
  <si>
    <t xml:space="preserve">S12</t>
  </si>
  <si>
    <t xml:space="preserve">Kavkaz oil depot, Proletarsk</t>
  </si>
  <si>
    <t xml:space="preserve">2024-08-18</t>
  </si>
  <si>
    <t xml:space="preserve">E020</t>
  </si>
  <si>
    <t xml:space="preserve">S13</t>
  </si>
  <si>
    <t xml:space="preserve">Garyville refinery (Marathon)</t>
  </si>
  <si>
    <t xml:space="preserve">2023-08-25</t>
  </si>
  <si>
    <t xml:space="preserve">image</t>
  </si>
  <si>
    <t xml:space="preserve">image labelled active_fire at a site with flares (weak)</t>
  </si>
  <si>
    <t xml:space="preserve">E021</t>
  </si>
  <si>
    <t xml:space="preserve">S14</t>
  </si>
  <si>
    <t xml:space="preserve">Kombinat Kristall oil depot (Rosrezerv), Engels</t>
  </si>
  <si>
    <t xml:space="preserve">2025-01-07T23:00Z</t>
  </si>
  <si>
    <t xml:space="preserve">image labelled new_damage_or_scar (image seen before labelling)</t>
  </si>
  <si>
    <t xml:space="preserve">new_damage_or_scar</t>
  </si>
  <si>
    <t xml:space="preserve">E022</t>
  </si>
  <si>
    <t xml:space="preserve">S15</t>
  </si>
  <si>
    <t xml:space="preserve">Rosneft fuel depot, Belgorod</t>
  </si>
  <si>
    <t xml:space="preserve">2022-04-01</t>
  </si>
  <si>
    <t xml:space="preserve">E023</t>
  </si>
  <si>
    <t xml:space="preserve">S16</t>
  </si>
  <si>
    <t xml:space="preserve">Saky air base, Novofedorivka (Crimea)</t>
  </si>
  <si>
    <t xml:space="preserve">2022-08-09</t>
  </si>
  <si>
    <t xml:space="preserve">E024</t>
  </si>
  <si>
    <t xml:space="preserve">S20</t>
  </si>
  <si>
    <t xml:space="preserve">Marywilska 44 shopping centre, Warsaw</t>
  </si>
  <si>
    <t xml:space="preserve">2024-05-12T01:30Z</t>
  </si>
  <si>
    <t xml:space="preserve">E025</t>
  </si>
  <si>
    <t xml:space="preserve">S21</t>
  </si>
  <si>
    <t xml:space="preserve">BioLab plant, Conyers GA</t>
  </si>
  <si>
    <t xml:space="preserve">2024-09-29T09:00Z</t>
  </si>
  <si>
    <t xml:space="preserve">E026</t>
  </si>
  <si>
    <t xml:space="preserve">S22</t>
  </si>
  <si>
    <t xml:space="preserve">Moss Landing battery storage facility (Vistra)</t>
  </si>
  <si>
    <t xml:space="preserve">2025-01-16</t>
  </si>
  <si>
    <t xml:space="preserve">FIRMS signal from +33.5 h (8 detections in window); image labelled active_fire</t>
  </si>
  <si>
    <t xml:space="preserve">E027</t>
  </si>
  <si>
    <t xml:space="preserve">S23</t>
  </si>
  <si>
    <t xml:space="preserve">BM Container Depot, Sitakunda</t>
  </si>
  <si>
    <t xml:space="preserve">2022-06-04T15:00Z</t>
  </si>
  <si>
    <t xml:space="preserve">FIRMS signal from +3.7 h (19 detections in window); image labelled active_fire</t>
  </si>
  <si>
    <t xml:space="preserve">E028</t>
  </si>
  <si>
    <t xml:space="preserve">S24</t>
  </si>
  <si>
    <t xml:space="preserve">Zagorsk Optical-Mechanical Plant (ZOMZ), Sergiyev Posad</t>
  </si>
  <si>
    <t xml:space="preserve">2023-08-09</t>
  </si>
  <si>
    <t xml:space="preserve">E029</t>
  </si>
  <si>
    <t xml:space="preserve">S25</t>
  </si>
  <si>
    <t xml:space="preserve">My Way Trading plastics storage site, Richmond IN</t>
  </si>
  <si>
    <t xml:space="preserve">2023-04-11T19:00Z</t>
  </si>
  <si>
    <t xml:space="preserve">FIRMS signal from +0.3 h (21 detections in window); image labelled active_fire</t>
  </si>
  <si>
    <t xml:space="preserve">E030</t>
  </si>
  <si>
    <t xml:space="preserve">S26</t>
  </si>
  <si>
    <t xml:space="preserve">Elastik plant, Lesnoy (Shilovsky district, Ryazan oblast)</t>
  </si>
  <si>
    <t xml:space="preserve">2025-08-15T07:41Z</t>
  </si>
  <si>
    <t xml:space="preserve">E031</t>
  </si>
  <si>
    <t xml:space="preserve">S27</t>
  </si>
  <si>
    <t xml:space="preserve">Mega Khimki shopping centre (OBI)</t>
  </si>
  <si>
    <t xml:space="preserve">2022-12-09</t>
  </si>
  <si>
    <t xml:space="preserve">E032</t>
  </si>
  <si>
    <t xml:space="preserve">S28</t>
  </si>
  <si>
    <t xml:space="preserve">Amstor shopping mall, Kremenchuk</t>
  </si>
  <si>
    <t xml:space="preserve">2022-06-27</t>
  </si>
  <si>
    <t xml:space="preserve">E033</t>
  </si>
  <si>
    <t xml:space="preserve">S29</t>
  </si>
  <si>
    <t xml:space="preserve">Mradi area gas depot, Embakasi, Nairobi</t>
  </si>
  <si>
    <t xml:space="preserve">2024-02-01T20:30Z</t>
  </si>
  <si>
    <t xml:space="preserve">E034</t>
  </si>
  <si>
    <t xml:space="preserve">S30</t>
  </si>
  <si>
    <t xml:space="preserve">Energy Transfer pipeline valve station, Deer Park / La Porte TX</t>
  </si>
  <si>
    <t xml:space="preserve">2024-09-16T14:55Z</t>
  </si>
  <si>
    <t xml:space="preserve">E035</t>
  </si>
  <si>
    <t xml:space="preserve">S31</t>
  </si>
  <si>
    <t xml:space="preserve">Shell Deer Park Chemicals (olefins unit)</t>
  </si>
  <si>
    <t xml:space="preserve">2023-05-05T19:56Z</t>
  </si>
  <si>
    <t xml:space="preserve">E036</t>
  </si>
  <si>
    <t xml:space="preserve">S32</t>
  </si>
  <si>
    <t xml:space="preserve">Diehl Metal Applications plant, Berlin-Lichterfelde</t>
  </si>
  <si>
    <t xml:space="preserve">2024-05-03</t>
  </si>
  <si>
    <t xml:space="preserve">E037</t>
  </si>
  <si>
    <t xml:space="preserve">S33</t>
  </si>
  <si>
    <t xml:space="preserve">Crocus City Hall, Krasnogorsk</t>
  </si>
  <si>
    <t xml:space="preserve">2024-03-22T16:58Z</t>
  </si>
  <si>
    <t xml:space="preserve">site 100% cloud in the first Sentinel-2 image after; first clear image +9 d</t>
  </si>
  <si>
    <t xml:space="preserve">E038</t>
  </si>
  <si>
    <t xml:space="preserve">S34</t>
  </si>
  <si>
    <t xml:space="preserve">Norfolk Southern derailment site, East Palestine OH</t>
  </si>
  <si>
    <t xml:space="preserve">2023-02-04T01:55Z</t>
  </si>
  <si>
    <t xml:space="preserve">image labelled active_fire</t>
  </si>
  <si>
    <t xml:space="preserve">E039</t>
  </si>
  <si>
    <t xml:space="preserve">S35</t>
  </si>
  <si>
    <t xml:space="preserve">Wildberries warehouse, Shushary (St Petersburg)</t>
  </si>
  <si>
    <t xml:space="preserve">2024-01-13</t>
  </si>
  <si>
    <t xml:space="preserve">E040</t>
  </si>
  <si>
    <t xml:space="preserve">S36</t>
  </si>
  <si>
    <t xml:space="preserve">Epicentr hypermarket, Kyivskyi district, Kharkiv</t>
  </si>
  <si>
    <t xml:space="preserve">2024-05-25T13:00Z</t>
  </si>
  <si>
    <t xml:space="preserve">E041</t>
  </si>
  <si>
    <t xml:space="preserve">S40</t>
  </si>
  <si>
    <t xml:space="preserve">Shahid Rajaee port, Bandar Abbas</t>
  </si>
  <si>
    <t xml:space="preserve">2025-04-26T08:50Z</t>
  </si>
  <si>
    <t xml:space="preserve">FIRMS signal from +0.9 h (30 detections in window); image labelled active_fire</t>
  </si>
  <si>
    <t xml:space="preserve">E042</t>
  </si>
  <si>
    <t xml:space="preserve">S41</t>
  </si>
  <si>
    <t xml:space="preserve">Stena Immaculate / Solong collision, North Sea off Spurn Head</t>
  </si>
  <si>
    <t xml:space="preserve">2025-03-10T09:47Z</t>
  </si>
  <si>
    <t xml:space="preserve">FIRMS signal from +2.2 h (2 detections in window)</t>
  </si>
  <si>
    <t xml:space="preserve">E043</t>
  </si>
  <si>
    <t xml:space="preserve">S42</t>
  </si>
  <si>
    <t xml:space="preserve">Tanker Sounion, Red Sea (drifting)</t>
  </si>
  <si>
    <t xml:space="preserve">2024-08-23</t>
  </si>
  <si>
    <t xml:space="preserve">late FIRMS</t>
  </si>
  <si>
    <t xml:space="preserve">FIRMS signal only from +58 h, after the timing window</t>
  </si>
  <si>
    <t xml:space="preserve">04 raw (no flare filter)</t>
  </si>
  <si>
    <t xml:space="preserve">skipped_position_too_vague</t>
  </si>
  <si>
    <t xml:space="preserve">E044</t>
  </si>
  <si>
    <t xml:space="preserve">S43</t>
  </si>
  <si>
    <t xml:space="preserve">Cruiser Moskva, NW Black Sea</t>
  </si>
  <si>
    <t xml:space="preserve">2022-04-13</t>
  </si>
  <si>
    <t xml:space="preserve">no_clear_scenes</t>
  </si>
  <si>
    <t xml:space="preserve">E045</t>
  </si>
  <si>
    <t xml:space="preserve">S44</t>
  </si>
  <si>
    <t xml:space="preserve">Iskenderun port container yard</t>
  </si>
  <si>
    <t xml:space="preserve">2023-02-06</t>
  </si>
  <si>
    <t xml:space="preserve">FIRMS signal from +35.4 h (7 detections in window); image labelled active_fire</t>
  </si>
  <si>
    <t xml:space="preserve">E046</t>
  </si>
  <si>
    <t xml:space="preserve">S45</t>
  </si>
  <si>
    <t xml:space="preserve">Container ship Wan Hai 503, off Kerala</t>
  </si>
  <si>
    <t xml:space="preserve">2025-06-09</t>
  </si>
  <si>
    <t xml:space="preserve">no signal although data were available (no Sentinel-2 cloud information)</t>
  </si>
  <si>
    <t xml:space="preserve">E047</t>
  </si>
  <si>
    <t xml:space="preserve">S46</t>
  </si>
  <si>
    <t xml:space="preserve">Novatek Ust-Luga fuel export terminal</t>
  </si>
  <si>
    <t xml:space="preserve">2024-01-21</t>
  </si>
  <si>
    <t xml:space="preserve">E048</t>
  </si>
  <si>
    <t xml:space="preserve">S47</t>
  </si>
  <si>
    <t xml:space="preserve">Tanker Marlin Luanda, Gulf of Aden</t>
  </si>
  <si>
    <t xml:space="preserve">2024-01-26</t>
  </si>
  <si>
    <t xml:space="preserve">FIRMS signal from +21.8 h (2 detections in window)</t>
  </si>
  <si>
    <t xml:space="preserve">E049</t>
  </si>
  <si>
    <t xml:space="preserve">S48</t>
  </si>
  <si>
    <t xml:space="preserve">Car carrier Fremantle Highway, off Ameland</t>
  </si>
  <si>
    <t xml:space="preserve">2023-07-26</t>
  </si>
  <si>
    <t xml:space="preserve">E050</t>
  </si>
  <si>
    <t xml:space="preserve">S49</t>
  </si>
  <si>
    <t xml:space="preserve">Primorsk oil port (vessel at berth)</t>
  </si>
  <si>
    <t xml:space="preserve">2025-09-12</t>
  </si>
  <si>
    <t xml:space="preserve">site 100% cloud in the first Sentinel-2 image after; first clear image +13 d</t>
  </si>
  <si>
    <t xml:space="preserve">E051</t>
  </si>
  <si>
    <t xml:space="preserve">S50</t>
  </si>
  <si>
    <t xml:space="preserve">Sheskharis oil terminal (Transneft), Novorossiysk</t>
  </si>
  <si>
    <t xml:space="preserve">2025-11-13T21:00Z</t>
  </si>
  <si>
    <t xml:space="preserve">disputed</t>
  </si>
  <si>
    <t xml:space="preserve">E052</t>
  </si>
  <si>
    <t xml:space="preserve">S51</t>
  </si>
  <si>
    <t xml:space="preserve">Car carrier Felicity Ace, off the Azores</t>
  </si>
  <si>
    <t xml:space="preserve">2022-02-16</t>
  </si>
  <si>
    <t xml:space="preserve">E053</t>
  </si>
  <si>
    <t xml:space="preserve">S52</t>
  </si>
  <si>
    <t xml:space="preserve">Car carrier Morning Midas, N Pacific SW of Adak</t>
  </si>
  <si>
    <t xml:space="preserve">2025-06-03</t>
  </si>
  <si>
    <t xml:space="preserve">FIRMS signal from +37.5 h (3 detections in window)</t>
  </si>
  <si>
    <t xml:space="preserve">E054</t>
  </si>
  <si>
    <t xml:space="preserve">S53</t>
  </si>
  <si>
    <t xml:space="preserve">Container ship Maersk Frankfurt, off Karwar</t>
  </si>
  <si>
    <t xml:space="preserve">2024-07-19</t>
  </si>
  <si>
    <t xml:space="preserve">E055</t>
  </si>
  <si>
    <t xml:space="preserve">S54</t>
  </si>
  <si>
    <t xml:space="preserve">Izmail port (Danube)</t>
  </si>
  <si>
    <t xml:space="preserve">2023-08-02</t>
  </si>
  <si>
    <t xml:space="preserve">E056</t>
  </si>
  <si>
    <t xml:space="preserve">S60</t>
  </si>
  <si>
    <t xml:space="preserve">Hotel Saratoga, Havana</t>
  </si>
  <si>
    <t xml:space="preserve">2022-05-06</t>
  </si>
  <si>
    <t xml:space="preserve">E057</t>
  </si>
  <si>
    <t xml:space="preserve">S61</t>
  </si>
  <si>
    <t xml:space="preserve">Paris American Academy, 277 rue Saint-Jacques</t>
  </si>
  <si>
    <t xml:space="preserve">2023-06-21</t>
  </si>
  <si>
    <t xml:space="preserve">E058</t>
  </si>
  <si>
    <t xml:space="preserve">S62</t>
  </si>
  <si>
    <t xml:space="preserve">LPG station, Crevedia</t>
  </si>
  <si>
    <t xml:space="preserve">2023-08-26T15:45Z</t>
  </si>
  <si>
    <t xml:space="preserve">E059</t>
  </si>
  <si>
    <t xml:space="preserve">S63</t>
  </si>
  <si>
    <t xml:space="preserve">BBQ restaurant, Yinchuan</t>
  </si>
  <si>
    <t xml:space="preserve">2023-06-21T12:40Z</t>
  </si>
  <si>
    <t xml:space="preserve">E060</t>
  </si>
  <si>
    <t xml:space="preserve">S64</t>
  </si>
  <si>
    <t xml:space="preserve">Accurate Energetic Systems, McEwen TN</t>
  </si>
  <si>
    <t xml:space="preserve">2025-10-10T12:48Z</t>
  </si>
  <si>
    <t xml:space="preserve">E061</t>
  </si>
  <si>
    <t xml:space="preserve">S65</t>
  </si>
  <si>
    <t xml:space="preserve">Sigachi Industries plant, Pashamylaram (Telangana)</t>
  </si>
  <si>
    <t xml:space="preserve">2025-06-30T03:30Z</t>
  </si>
  <si>
    <t xml:space="preserve">E062</t>
  </si>
  <si>
    <t xml:space="preserve">S66</t>
  </si>
  <si>
    <t xml:space="preserve">Plastmass plant, Kopeysk</t>
  </si>
  <si>
    <t xml:space="preserve">2025-10-22T17:30Z</t>
  </si>
  <si>
    <t xml:space="preserve">E063</t>
  </si>
  <si>
    <t xml:space="preserve">S67</t>
  </si>
  <si>
    <t xml:space="preserve">Alabuga SEZ dormitories, Yelabuga</t>
  </si>
  <si>
    <t xml:space="preserve">2024-04-02</t>
  </si>
  <si>
    <t xml:space="preserve">E064</t>
  </si>
  <si>
    <t xml:space="preserve">S68</t>
  </si>
  <si>
    <t xml:space="preserve">Warsaw-Lublin rail line near Mika</t>
  </si>
  <si>
    <t xml:space="preserve">2025-11-15</t>
  </si>
  <si>
    <t xml:space="preserve">E065</t>
  </si>
  <si>
    <t xml:space="preserve">S69</t>
  </si>
  <si>
    <t xml:space="preserve">IKEA store warehouse, Vilnius</t>
  </si>
  <si>
    <t xml:space="preserve">2024-05-09</t>
  </si>
  <si>
    <t xml:space="preserve">E066</t>
  </si>
  <si>
    <t xml:space="preserve">S70</t>
  </si>
  <si>
    <t xml:space="preserve">Apartment block, Tarwekamp, The Hague</t>
  </si>
  <si>
    <t xml:space="preserve">2024-12-07T05:15Z</t>
  </si>
  <si>
    <t xml:space="preserve">E067</t>
  </si>
  <si>
    <t xml:space="preserve">S71</t>
  </si>
  <si>
    <t xml:space="preserve">Apartment building, 15 rue de Tivoli, Marseille</t>
  </si>
  <si>
    <t xml:space="preserve">2023-04-08T22:40Z</t>
  </si>
  <si>
    <t xml:space="preserve">E068</t>
  </si>
  <si>
    <t xml:space="preserve">S72</t>
  </si>
  <si>
    <t xml:space="preserve">Fried-chicken shop, Yanjiao (Sanhe, Hebei)</t>
  </si>
  <si>
    <t xml:space="preserve">2024-03-13T00:00Z</t>
  </si>
  <si>
    <t xml:space="preserve">E069</t>
  </si>
  <si>
    <t xml:space="preserve">S73</t>
  </si>
  <si>
    <t xml:space="preserve">Residential building, Dnipro (Naberezhna Peremohy)</t>
  </si>
  <si>
    <t xml:space="preserve">2023-01-14T13:30Z</t>
  </si>
  <si>
    <t xml:space="preserve">site 100% cloud in the first Sentinel-2 image after; first clear image +12 d</t>
  </si>
  <si>
    <t xml:space="preserve">E070</t>
  </si>
  <si>
    <t xml:space="preserve">S74</t>
  </si>
  <si>
    <t xml:space="preserve">Residential building, Uman</t>
  </si>
  <si>
    <t xml:space="preserve">2023-04-28T01:00Z</t>
  </si>
  <si>
    <t xml:space="preserve">E071</t>
  </si>
  <si>
    <t xml:space="preserve">S75</t>
  </si>
  <si>
    <t xml:space="preserve">Okhmatdyt children's hospital, Kyiv</t>
  </si>
  <si>
    <t xml:space="preserve">2024-07-08</t>
  </si>
  <si>
    <t xml:space="preserve">E072</t>
  </si>
  <si>
    <t xml:space="preserve">S76</t>
  </si>
  <si>
    <t xml:space="preserve">Sumy city centre</t>
  </si>
  <si>
    <t xml:space="preserve">2025-04-13T07:20Z</t>
  </si>
  <si>
    <t xml:space="preserve">E073</t>
  </si>
  <si>
    <t xml:space="preserve">S77</t>
  </si>
  <si>
    <t xml:space="preserve">RIA Pizza restaurant, Kramatorsk</t>
  </si>
  <si>
    <t xml:space="preserve">2023-06-27T16:30Z</t>
  </si>
  <si>
    <t xml:space="preserve">E074</t>
  </si>
  <si>
    <t xml:space="preserve">S78</t>
  </si>
  <si>
    <t xml:space="preserve">Kremniy El plant, 103 Krasnoarmeyskaya St, Bryansk</t>
  </si>
  <si>
    <t xml:space="preserve">2025-04-28</t>
  </si>
  <si>
    <t xml:space="preserve">E075</t>
  </si>
  <si>
    <t xml:space="preserve">negative_control</t>
  </si>
  <si>
    <t xml:space="preserve">2023-01-31</t>
  </si>
  <si>
    <t xml:space="preserve">control</t>
  </si>
  <si>
    <t xml:space="preserve">E076</t>
  </si>
  <si>
    <t xml:space="preserve">2023-09-01</t>
  </si>
  <si>
    <t xml:space="preserve">E077</t>
  </si>
  <si>
    <t xml:space="preserve">2025-03-28</t>
  </si>
  <si>
    <t xml:space="preserve">E078</t>
  </si>
  <si>
    <t xml:space="preserve">2023-03-13</t>
  </si>
  <si>
    <t xml:space="preserve">E079</t>
  </si>
  <si>
    <t xml:space="preserve">2023-05-01</t>
  </si>
  <si>
    <t xml:space="preserve">E080</t>
  </si>
  <si>
    <t xml:space="preserve">2023-05-17</t>
  </si>
  <si>
    <t xml:space="preserve">site 100% cloud in the first Sentinel-2 image after; first clear image +23 d</t>
  </si>
  <si>
    <t xml:space="preserve">E081</t>
  </si>
  <si>
    <t xml:space="preserve">2025-04-29</t>
  </si>
  <si>
    <t xml:space="preserve">E082</t>
  </si>
  <si>
    <t xml:space="preserve">2024-01-29</t>
  </si>
  <si>
    <t xml:space="preserve">E083</t>
  </si>
  <si>
    <t xml:space="preserve">2022-08-25</t>
  </si>
  <si>
    <t xml:space="preserve">E084</t>
  </si>
  <si>
    <t xml:space="preserve">2023-08-05</t>
  </si>
  <si>
    <t xml:space="preserve">E085</t>
  </si>
  <si>
    <t xml:space="preserve">2024-04-26</t>
  </si>
  <si>
    <t xml:space="preserve">site 100% cloud in the first Sentinel-2 image after; first clear image +16 d</t>
  </si>
  <si>
    <t xml:space="preserve">E086</t>
  </si>
  <si>
    <t xml:space="preserve">2022-02-06</t>
  </si>
  <si>
    <t xml:space="preserve">E087</t>
  </si>
  <si>
    <t xml:space="preserve">2024-03-10</t>
  </si>
  <si>
    <t xml:space="preserve">site 100% cloud in the first Sentinel-2 image after; first clear image +6 d</t>
  </si>
  <si>
    <t xml:space="preserve">E088</t>
  </si>
  <si>
    <t xml:space="preserve">2023-06-04</t>
  </si>
  <si>
    <t xml:space="preserve">E089</t>
  </si>
  <si>
    <t xml:space="preserve">2023-09-18</t>
  </si>
  <si>
    <t xml:space="preserve">E090</t>
  </si>
  <si>
    <t xml:space="preserve">2024-10-22</t>
  </si>
  <si>
    <t xml:space="preserve">E091</t>
  </si>
  <si>
    <t xml:space="preserve">2024-10-10</t>
  </si>
  <si>
    <t xml:space="preserve">E092</t>
  </si>
  <si>
    <t xml:space="preserve">2024-06-30</t>
  </si>
  <si>
    <t xml:space="preserve">E093</t>
  </si>
  <si>
    <t xml:space="preserve">2023-03-22</t>
  </si>
  <si>
    <t xml:space="preserve">site 100% cloud in the first Sentinel-2 image after; first clear image +10 d</t>
  </si>
  <si>
    <t xml:space="preserve">E094</t>
  </si>
  <si>
    <t xml:space="preserve">2023-05-12</t>
  </si>
  <si>
    <t xml:space="preserve">E095</t>
  </si>
  <si>
    <t xml:space="preserve">2022-04-11</t>
  </si>
  <si>
    <t xml:space="preserve">E096</t>
  </si>
  <si>
    <t xml:space="preserve">2022-02-03</t>
  </si>
  <si>
    <t xml:space="preserve">E097</t>
  </si>
  <si>
    <t xml:space="preserve">2024-01-08</t>
  </si>
  <si>
    <t xml:space="preserve">E098</t>
  </si>
  <si>
    <t xml:space="preserve">2024-01-16</t>
  </si>
  <si>
    <t xml:space="preserve">E099</t>
  </si>
  <si>
    <t xml:space="preserve">2022-06-21</t>
  </si>
  <si>
    <t xml:space="preserve">E100</t>
  </si>
  <si>
    <t xml:space="preserve">2022-01-14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</si>
</sst>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Verdicts" displayName="Verdicts" ref="A1:U101" headerRowCount="1" totalsRowCount="0" totalsRowShown="0">
  <autoFilter ref="A1:U101"/>
  <tableColumns count="21">
    <tableColumn id="1" name="event_id"/>
    <tableColumn id="2" name="site_id"/>
    <tableColumn id="3" name="split"/>
    <tableColumn id="4" name="category"/>
    <tableColumn id="5" name="place_name"/>
    <tableColumn id="6" name="event_time_utc"/>
    <tableColumn id="7" name="time_precision"/>
    <tableColumn id="8" name="ground_truth"/>
    <tableColumn id="9" name="site_verdict"/>
    <tableColumn id="10" name="site_evidence"/>
    <tableColumn id="11" name="site_reason"/>
    <tableColumn id="12" name="signal_source"/>
    <tableColumn id="13" name="flare_site"/>
    <tableColumn id="14" name="visual_label"/>
    <tableColumn id="15" name="visual_seen_before"/>
    <tableColumn id="16" name="s2_status"/>
    <tableColumn id="17" name="firms_complete"/>
    <tableColumn id="18" name="city_verdict"/>
    <tableColumn id="19" name="city_overpasses_in_window"/>
    <tableColumn id="20" name="city_expected_from_baseline"/>
    <tableColumn id="21" name="city_p_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7</v>
      </c>
      <c r="K5" s="5" t="s">
        <v>8</v>
      </c>
    </row>
    <row r="6" customFormat="false" ht="15" hidden="false" customHeight="true" outlineLevel="0" collapsed="false">
      <c r="A6" s="4" t="s">
        <v>12</v>
      </c>
      <c r="B6" s="4" t="n">
        <f aca="false">COUNTIFS(Verdicts!$D$2:$D$101,"&lt;&gt;negative_control",Verdicts!$C$2:$C$101,"test",Verdicts!$I$2:$I$101,"corroborated")</f>
        <v>8</v>
      </c>
      <c r="C6" s="4" t="n">
        <f aca="false">COUNTIFS(Verdicts!$D$2:$D$101,"&lt;&gt;negative_control",Verdicts!$C$2:$C$101,"test",Verdicts!$I$2:$I$101,"&lt;&gt;not_assessable_no_site",Verdicts!$I$2:$I$101,"&lt;&gt;not_observable")</f>
        <v>16</v>
      </c>
      <c r="D6" s="6" t="n">
        <f aca="false">IF(C6=0,"",B6/C6)</f>
        <v>0.5</v>
      </c>
      <c r="E6" s="6" t="n">
        <f aca="false">IF(C6=0,"",MAX(0,((B6/C6)+1.96^2/(2*C6)-1.96*SQRT((B6/C6)*(1-(B6/C6))/C6+1.96^2/(4*C6^2)))/(1+1.96^2/C6)))</f>
        <v>0.279992376113508</v>
      </c>
      <c r="F6" s="6" t="n">
        <f aca="false">IF(C6=0,"",MIN(1,((B6/C6)+1.96^2/(2*C6)+1.96*SQRT((B6/C6)*(1-(B6/C6))/C6+1.96^2/(4*C6^2)))/(1+1.96^2/C6)))</f>
        <v>0.720007623886492</v>
      </c>
      <c r="G6" s="4" t="n">
        <f aca="false">COUNTIFS(Verdicts!$D$2:$D$101,"negative_control",Verdicts!$C$2:$C$101,"test",Verdicts!$I$2:$I$101,"corroborated")</f>
        <v>0</v>
      </c>
      <c r="H6" s="4" t="n">
        <f aca="false">COUNTIFS(Verdicts!$D$2:$D$101,"negative_control",Verdicts!$C$2:$C$101,"test")</f>
        <v>10</v>
      </c>
      <c r="I6" s="6" t="n">
        <f aca="false">IF(H6=0,"",G6/H6)</f>
        <v>0</v>
      </c>
      <c r="J6" s="6" t="n">
        <f aca="false">IF(H6=0,"",MAX(0,((G6/H6)+1.96^2/(2*H6)-1.96*SQRT((G6/H6)*(1-(G6/H6))/H6+1.96^2/(4*H6^2)))/(1+1.96^2/H6)))</f>
        <v>0</v>
      </c>
      <c r="K6" s="6" t="n">
        <f aca="false">IF(H6=0,"",MIN(1,((G6/H6)+1.96^2/(2*H6)+1.96*SQRT((G6/H6)*(1-(G6/H6))/H6+1.96^2/(4*H6^2)))/(1+1.96^2/H6)))</f>
        <v>0.277540168766617</v>
      </c>
    </row>
    <row r="7" customFormat="false" ht="15" hidden="false" customHeight="true" outlineLevel="0" collapsed="false">
      <c r="A7" s="7" t="s">
        <v>13</v>
      </c>
      <c r="B7" s="7" t="n">
        <f aca="false">COUNTIFS(Verdicts!$D$2:$D$101,"&lt;&gt;negative_control",Verdicts!$C$2:$C$101,"calibration",Verdicts!$I$2:$I$101,"corroborated")</f>
        <v>9</v>
      </c>
      <c r="C7" s="7" t="n">
        <f aca="false">COUNTIFS(Verdicts!$D$2:$D$101,"&lt;&gt;negative_control",Verdicts!$C$2:$C$101,"calibration",Verdicts!$I$2:$I$101,"&lt;&gt;not_assessable_no_site",Verdicts!$I$2:$I$101,"&lt;&gt;not_observable")</f>
        <v>21</v>
      </c>
      <c r="D7" s="8" t="n">
        <f aca="false">IF(C7=0,"",B7/C7)</f>
        <v>0.428571428571429</v>
      </c>
      <c r="E7" s="8" t="n">
        <f aca="false">IF(C7=0,"",MAX(0,((B7/C7)+1.96^2/(2*C7)-1.96*SQRT((B7/C7)*(1-(B7/C7))/C7+1.96^2/(4*C7^2)))/(1+1.96^2/C7)))</f>
        <v>0.24469699486521</v>
      </c>
      <c r="F7" s="8" t="n">
        <f aca="false">IF(C7=0,"",MIN(1,((B7/C7)+1.96^2/(2*C7)+1.96*SQRT((B7/C7)*(1-(B7/C7))/C7+1.96^2/(4*C7^2)))/(1+1.96^2/C7)))</f>
        <v>0.634537837029675</v>
      </c>
      <c r="G7" s="7" t="n">
        <f aca="false">COUNTIFS(Verdicts!$D$2:$D$101,"negative_control",Verdicts!$C$2:$C$101,"calibration",Verdicts!$I$2:$I$101,"corroborated")</f>
        <v>0</v>
      </c>
      <c r="H7" s="7" t="n">
        <f aca="false">COUNTIFS(Verdicts!$D$2:$D$101,"negative_control",Verdicts!$C$2:$C$101,"calibration")</f>
        <v>16</v>
      </c>
      <c r="I7" s="8" t="n">
        <f aca="false">IF(H7=0,"",G7/H7)</f>
        <v>0</v>
      </c>
      <c r="J7" s="8" t="n">
        <f aca="false">IF(H7=0,"",MAX(0,((G7/H7)+1.96^2/(2*H7)-1.96*SQRT((G7/H7)*(1-(G7/H7))/H7+1.96^2/(4*H7^2)))/(1+1.96^2/H7)))</f>
        <v>0</v>
      </c>
      <c r="K7" s="8" t="n">
        <f aca="false">IF(H7=0,"",MIN(1,((G7/H7)+1.96^2/(2*H7)+1.96*SQRT((G7/H7)*(1-(G7/H7))/H7+1.96^2/(4*H7^2)))/(1+1.96^2/H7)))</f>
        <v>0.19361341827272</v>
      </c>
    </row>
    <row r="8" customFormat="false" ht="15" hidden="false" customHeight="true" outlineLevel="0" collapsed="false">
      <c r="A8" s="7" t="s">
        <v>14</v>
      </c>
      <c r="B8" s="7" t="n">
        <f aca="false">COUNTIFS(Verdicts!$D$2:$D$101,"&lt;&gt;negative_control",Verdicts!$C$2:$C$101,"*",Verdicts!$I$2:$I$101,"corroborated")</f>
        <v>17</v>
      </c>
      <c r="C8" s="7" t="n">
        <f aca="false">COUNTIFS(Verdicts!$D$2:$D$101,"&lt;&gt;negative_control",Verdicts!$C$2:$C$101,"*",Verdicts!$I$2:$I$101,"&lt;&gt;not_assessable_no_site",Verdicts!$I$2:$I$101,"&lt;&gt;not_observable")</f>
        <v>37</v>
      </c>
      <c r="D8" s="8" t="n">
        <f aca="false">IF(C8=0,"",B8/C8)</f>
        <v>0.45945945945946</v>
      </c>
      <c r="E8" s="8" t="n">
        <f aca="false">IF(C8=0,"",MAX(0,((B8/C8)+1.96^2/(2*C8)-1.96*SQRT((B8/C8)*(1-(B8/C8))/C8+1.96^2/(4*C8^2)))/(1+1.96^2/C8)))</f>
        <v>0.310383278284577</v>
      </c>
      <c r="F8" s="8" t="n">
        <f aca="false">IF(C8=0,"",MIN(1,((B8/C8)+1.96^2/(2*C8)+1.96*SQRT((B8/C8)*(1-(B8/C8))/C8+1.96^2/(4*C8^2)))/(1+1.96^2/C8)))</f>
        <v>0.616162204752326</v>
      </c>
      <c r="G8" s="7" t="n">
        <f aca="false">COUNTIFS(Verdicts!$D$2:$D$101,"negative_control",Verdicts!$C$2:$C$101,"*",Verdicts!$I$2:$I$101,"corroborated")</f>
        <v>0</v>
      </c>
      <c r="H8" s="7" t="n">
        <f aca="false">COUNTIFS(Verdicts!$D$2:$D$101,"negative_control",Verdicts!$C$2:$C$101,"*")</f>
        <v>26</v>
      </c>
      <c r="I8" s="8" t="n">
        <f aca="false">IF(H8=0,"",G8/H8)</f>
        <v>0</v>
      </c>
      <c r="J8" s="8" t="n">
        <f aca="false">IF(H8=0,"",MAX(0,((G8/H8)+1.96^2/(2*H8)-1.96*SQRT((G8/H8)*(1-(G8/H8))/H8+1.96^2/(4*H8^2)))/(1+1.96^2/H8)))</f>
        <v>0</v>
      </c>
      <c r="K8" s="8" t="n">
        <f aca="false">IF(H8=0,"",MIN(1,((G8/H8)+1.96^2/(2*H8)+1.96*SQRT((G8/H8)*(1-(G8/H8))/H8+1.96^2/(4*H8^2)))/(1+1.96^2/H8)))</f>
        <v>0.128733043804622</v>
      </c>
    </row>
    <row r="9" customFormat="false" ht="15" hidden="false" customHeight="true" outlineLevel="0" collapsed="false">
      <c r="A9" s="7" t="s">
        <v>15</v>
      </c>
      <c r="B9" s="7" t="n">
        <f aca="false">B8-COUNTIFS(Verdicts!$D$2:$D$101,"&lt;&gt;negative_control",Verdicts!$I$2:$I$101,"corroborated",Verdicts!$J$2:$J$101,"image")</f>
        <v>15</v>
      </c>
      <c r="C9" s="7" t="n">
        <f aca="false">C8</f>
        <v>37</v>
      </c>
      <c r="D9" s="8" t="n">
        <f aca="false">IF(C9=0,"",B9/C9)</f>
        <v>0.405405405405405</v>
      </c>
      <c r="E9" s="8" t="n">
        <f aca="false">IF(C9=0,"",MAX(0,((B9/C9)+1.96^2/(2*C9)-1.96*SQRT((B9/C9)*(1-(B9/C9))/C9+1.96^2/(4*C9^2)))/(1+1.96^2/C9)))</f>
        <v>0.263462958399401</v>
      </c>
      <c r="F9" s="8" t="n">
        <f aca="false">IF(C9=0,"",MIN(1,((B9/C9)+1.96^2/(2*C9)+1.96*SQRT((B9/C9)*(1-(B9/C9))/C9+1.96^2/(4*C9^2)))/(1+1.96^2/C9)))</f>
        <v>0.565143168686707</v>
      </c>
      <c r="G9" s="3" t="s">
        <v>16</v>
      </c>
      <c r="H9" s="7"/>
      <c r="I9" s="7"/>
      <c r="J9" s="7"/>
      <c r="K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true" outlineLevel="0" collapsed="false">
      <c r="A11" s="4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26.25" hidden="false" customHeight="true" outlineLevel="0" collapsed="false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7"/>
      <c r="J12" s="7"/>
      <c r="K12" s="7"/>
    </row>
    <row r="13" customFormat="false" ht="15" hidden="false" customHeight="true" outlineLevel="0" collapsed="false">
      <c r="A13" s="7" t="s">
        <v>26</v>
      </c>
      <c r="B13" s="7" t="n">
        <f aca="false">COUNTIFS(Verdicts!$D$2:$D$101,"&lt;&gt;negative_control",Verdicts!$I$2:$I$101,"corroborated")</f>
        <v>17</v>
      </c>
      <c r="C13" s="7" t="n">
        <f aca="false">COUNTIFS(Verdicts!$D$2:$D$101,"&lt;&gt;negative_control",Verdicts!$I$2:$I$101,"ambiguous_attribution")</f>
        <v>0</v>
      </c>
      <c r="D13" s="7" t="n">
        <f aca="false">COUNTIFS(Verdicts!$D$2:$D$101,"&lt;&gt;negative_control",Verdicts!$I$2:$I$101,"weak")</f>
        <v>2</v>
      </c>
      <c r="E13" s="7" t="n">
        <f aca="false">COUNTIFS(Verdicts!$D$2:$D$101,"&lt;&gt;negative_control",Verdicts!$I$2:$I$101,"not_observable")</f>
        <v>11</v>
      </c>
      <c r="F13" s="7" t="n">
        <f aca="false">COUNTIFS(Verdicts!$D$2:$D$101,"&lt;&gt;negative_control",Verdicts!$I$2:$I$101,"not_corroborated")</f>
        <v>18</v>
      </c>
      <c r="G13" s="7" t="n">
        <f aca="false">COUNTIFS(Verdicts!$D$2:$D$101,"&lt;&gt;negative_control",Verdicts!$I$2:$I$101,"not_assessable_no_site")</f>
        <v>26</v>
      </c>
      <c r="H13" s="7" t="n">
        <f aca="false">SUM(B13:G13)</f>
        <v>74</v>
      </c>
      <c r="I13" s="7"/>
      <c r="J13" s="7"/>
      <c r="K13" s="7"/>
    </row>
    <row r="14" customFormat="false" ht="15" hidden="false" customHeight="true" outlineLevel="0" collapsed="false">
      <c r="A14" s="7" t="s">
        <v>10</v>
      </c>
      <c r="B14" s="7" t="n">
        <f aca="false">COUNTIFS(Verdicts!$D$2:$D$101,"negative_control",Verdicts!$I$2:$I$101,"corroborated")</f>
        <v>0</v>
      </c>
      <c r="C14" s="7" t="n">
        <f aca="false">COUNTIFS(Verdicts!$D$2:$D$101,"negative_control",Verdicts!$I$2:$I$101,"ambiguous_attribution")</f>
        <v>0</v>
      </c>
      <c r="D14" s="7" t="n">
        <f aca="false">COUNTIFS(Verdicts!$D$2:$D$101,"negative_control",Verdicts!$I$2:$I$101,"weak")</f>
        <v>1</v>
      </c>
      <c r="E14" s="7" t="n">
        <f aca="false">COUNTIFS(Verdicts!$D$2:$D$101,"negative_control",Verdicts!$I$2:$I$101,"not_observable")</f>
        <v>11</v>
      </c>
      <c r="F14" s="7" t="n">
        <f aca="false">COUNTIFS(Verdicts!$D$2:$D$101,"negative_control",Verdicts!$I$2:$I$101,"not_corroborated")</f>
        <v>14</v>
      </c>
      <c r="G14" s="7" t="n">
        <f aca="false">COUNTIFS(Verdicts!$D$2:$D$101,"negative_control",Verdicts!$I$2:$I$101,"not_assessable_no_site")</f>
        <v>0</v>
      </c>
      <c r="H14" s="7" t="n">
        <f aca="false">SUM(B14:G14)</f>
        <v>26</v>
      </c>
      <c r="I14" s="7"/>
      <c r="J14" s="7"/>
      <c r="K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15" hidden="false" customHeight="true" outlineLevel="0" collapsed="false">
      <c r="A16" s="4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26.25" hidden="false" customHeight="true" outlineLevel="0" collapsed="false">
      <c r="A17" s="5" t="s">
        <v>28</v>
      </c>
      <c r="B17" s="5" t="s">
        <v>29</v>
      </c>
      <c r="C17" s="5" t="s">
        <v>30</v>
      </c>
      <c r="D17" s="5" t="s">
        <v>6</v>
      </c>
      <c r="E17" s="5" t="s">
        <v>31</v>
      </c>
      <c r="F17" s="5" t="s">
        <v>32</v>
      </c>
      <c r="G17" s="7"/>
      <c r="H17" s="7"/>
      <c r="I17" s="7"/>
      <c r="J17" s="7"/>
      <c r="K17" s="7"/>
    </row>
    <row r="18" customFormat="false" ht="15" hidden="false" customHeight="true" outlineLevel="0" collapsed="false">
      <c r="A18" s="7" t="s">
        <v>33</v>
      </c>
      <c r="B18" s="7" t="n">
        <f aca="false">COUNTIFS(Verdicts!$D$2:$D$101,"industrial_fire",Verdicts!$I$2:$I$101,"corroborated")</f>
        <v>5</v>
      </c>
      <c r="C18" s="7" t="n">
        <f aca="false">COUNTIFS(Verdicts!$D$2:$D$101,"industrial_fire",Verdicts!$I$2:$I$101,"&lt;&gt;not_assessable_no_site",Verdicts!$I$2:$I$101,"&lt;&gt;not_observable")</f>
        <v>6</v>
      </c>
      <c r="D18" s="8" t="n">
        <f aca="false">IF(C18=0,"",B18/C18)</f>
        <v>0.833333333333333</v>
      </c>
      <c r="E18" s="7" t="n">
        <f aca="false">COUNTIFS(Verdicts!$D$2:$D$101,"industrial_fire",Verdicts!$I$2:$I$101,"not_observable")</f>
        <v>2</v>
      </c>
      <c r="F18" s="7" t="n">
        <f aca="false">COUNTIFS(Verdicts!$D$2:$D$101,"industrial_fire",Verdicts!$I$2:$I$101,"not_assessable_no_site")</f>
        <v>9</v>
      </c>
      <c r="G18" s="7"/>
      <c r="H18" s="7"/>
      <c r="I18" s="7"/>
      <c r="J18" s="7"/>
      <c r="K18" s="7"/>
    </row>
    <row r="19" customFormat="false" ht="15" hidden="false" customHeight="true" outlineLevel="0" collapsed="false">
      <c r="A19" s="7" t="s">
        <v>34</v>
      </c>
      <c r="B19" s="7" t="n">
        <f aca="false">COUNTIFS(Verdicts!$D$2:$D$101,"port_ship_fire",Verdicts!$I$2:$I$101,"corroborated")</f>
        <v>5</v>
      </c>
      <c r="C19" s="7" t="n">
        <f aca="false">COUNTIFS(Verdicts!$D$2:$D$101,"port_ship_fire",Verdicts!$I$2:$I$101,"&lt;&gt;not_assessable_no_site",Verdicts!$I$2:$I$101,"&lt;&gt;not_observable")</f>
        <v>10</v>
      </c>
      <c r="D19" s="8" t="n">
        <f aca="false">IF(C19=0,"",B19/C19)</f>
        <v>0.5</v>
      </c>
      <c r="E19" s="7" t="n">
        <f aca="false">COUNTIFS(Verdicts!$D$2:$D$101,"port_ship_fire",Verdicts!$I$2:$I$101,"not_observable")</f>
        <v>1</v>
      </c>
      <c r="F19" s="7" t="n">
        <f aca="false">COUNTIFS(Verdicts!$D$2:$D$101,"port_ship_fire",Verdicts!$I$2:$I$101,"not_assessable_no_site")</f>
        <v>4</v>
      </c>
      <c r="G19" s="7"/>
      <c r="H19" s="7"/>
      <c r="I19" s="7"/>
      <c r="J19" s="7"/>
      <c r="K19" s="7"/>
    </row>
    <row r="20" customFormat="false" ht="15" hidden="false" customHeight="true" outlineLevel="0" collapsed="false">
      <c r="A20" s="7" t="s">
        <v>35</v>
      </c>
      <c r="B20" s="7" t="n">
        <f aca="false">COUNTIFS(Verdicts!$D$2:$D$101,"large_outdoor_fire",Verdicts!$I$2:$I$101,"corroborated")</f>
        <v>7</v>
      </c>
      <c r="C20" s="7" t="n">
        <f aca="false">COUNTIFS(Verdicts!$D$2:$D$101,"large_outdoor_fire",Verdicts!$I$2:$I$101,"&lt;&gt;not_assessable_no_site",Verdicts!$I$2:$I$101,"&lt;&gt;not_observable")</f>
        <v>16</v>
      </c>
      <c r="D20" s="8" t="n">
        <f aca="false">IF(C20=0,"",B20/C20)</f>
        <v>0.4375</v>
      </c>
      <c r="E20" s="7" t="n">
        <f aca="false">COUNTIFS(Verdicts!$D$2:$D$101,"large_outdoor_fire",Verdicts!$I$2:$I$101,"not_observable")</f>
        <v>4</v>
      </c>
      <c r="F20" s="7" t="n">
        <f aca="false">COUNTIFS(Verdicts!$D$2:$D$101,"large_outdoor_fire",Verdicts!$I$2:$I$101,"not_assessable_no_site")</f>
        <v>3</v>
      </c>
      <c r="G20" s="7"/>
      <c r="H20" s="7"/>
      <c r="I20" s="7"/>
      <c r="J20" s="7"/>
      <c r="K20" s="7"/>
    </row>
    <row r="21" customFormat="false" ht="15" hidden="false" customHeight="true" outlineLevel="0" collapsed="false">
      <c r="A21" s="7" t="s">
        <v>36</v>
      </c>
      <c r="B21" s="7" t="n">
        <f aca="false">COUNTIFS(Verdicts!$D$2:$D$101,"small_or_indoor",Verdicts!$I$2:$I$101,"corroborated")</f>
        <v>0</v>
      </c>
      <c r="C21" s="7" t="n">
        <f aca="false">COUNTIFS(Verdicts!$D$2:$D$101,"small_or_indoor",Verdicts!$I$2:$I$101,"&lt;&gt;not_assessable_no_site",Verdicts!$I$2:$I$101,"&lt;&gt;not_observable")</f>
        <v>5</v>
      </c>
      <c r="D21" s="8" t="n">
        <f aca="false">IF(C21=0,"",B21/C21)</f>
        <v>0</v>
      </c>
      <c r="E21" s="7" t="n">
        <f aca="false">COUNTIFS(Verdicts!$D$2:$D$101,"small_or_indoor",Verdicts!$I$2:$I$101,"not_observable")</f>
        <v>4</v>
      </c>
      <c r="F21" s="7" t="n">
        <f aca="false">COUNTIFS(Verdicts!$D$2:$D$101,"small_or_indoor",Verdicts!$I$2:$I$101,"not_assessable_no_site")</f>
        <v>10</v>
      </c>
      <c r="G21" s="7"/>
      <c r="H21" s="7"/>
      <c r="I21" s="7"/>
      <c r="J21" s="7"/>
      <c r="K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true" outlineLevel="0" collapsed="false">
      <c r="A23" s="4" t="s">
        <v>37</v>
      </c>
      <c r="B23" s="7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26.25" hidden="false" customHeight="true" outlineLevel="0" collapsed="false">
      <c r="A24" s="5" t="s">
        <v>18</v>
      </c>
      <c r="B24" s="5" t="s">
        <v>38</v>
      </c>
      <c r="C24" s="5" t="s">
        <v>25</v>
      </c>
      <c r="D24" s="5" t="s">
        <v>6</v>
      </c>
      <c r="E24" s="5" t="s">
        <v>7</v>
      </c>
      <c r="F24" s="5" t="s">
        <v>8</v>
      </c>
      <c r="G24" s="7"/>
      <c r="H24" s="7"/>
      <c r="I24" s="7"/>
      <c r="J24" s="7"/>
      <c r="K24" s="7"/>
    </row>
    <row r="25" customFormat="false" ht="15" hidden="false" customHeight="true" outlineLevel="0" collapsed="false">
      <c r="A25" s="7" t="s">
        <v>39</v>
      </c>
      <c r="B25" s="7" t="n">
        <f aca="false">COUNTIFS(Verdicts!$D$2:$D$101,"&lt;&gt;negative_control",Verdicts!$R$2:$R$101,"corroborated")</f>
        <v>13</v>
      </c>
      <c r="C25" s="7" t="n">
        <f aca="false">COUNTIFS(Verdicts!$D$2:$D$101,"&lt;&gt;negative_control")</f>
        <v>74</v>
      </c>
      <c r="D25" s="8" t="n">
        <f aca="false">IF(C25=0,"",B25/C25)</f>
        <v>0.175675675675676</v>
      </c>
      <c r="E25" s="8" t="n">
        <f aca="false">IF(C25=0,"",MAX(0,((B25/C25)+1.96^2/(2*C25)-1.96*SQRT((B25/C25)*(1-(B25/C25))/C25+1.96^2/(4*C25^2)))/(1+1.96^2/C25)))</f>
        <v>0.105641089554945</v>
      </c>
      <c r="F25" s="8" t="n">
        <f aca="false">IF(C25=0,"",MIN(1,((B25/C25)+1.96^2/(2*C25)+1.96*SQRT((B25/C25)*(1-(B25/C25))/C25+1.96^2/(4*C25^2)))/(1+1.96^2/C25)))</f>
        <v>0.277722047893411</v>
      </c>
      <c r="G25" s="7"/>
      <c r="H25" s="7"/>
      <c r="I25" s="7"/>
      <c r="J25" s="7"/>
      <c r="K25" s="7"/>
    </row>
    <row r="26" customFormat="false" ht="15" hidden="false" customHeight="true" outlineLevel="0" collapsed="false">
      <c r="A26" s="7" t="s">
        <v>10</v>
      </c>
      <c r="B26" s="7" t="n">
        <f aca="false">COUNTIFS(Verdicts!$D$2:$D$101,"negative_control",Verdicts!$R$2:$R$101,"corroborated")</f>
        <v>0</v>
      </c>
      <c r="C26" s="7" t="n">
        <f aca="false">COUNTIFS(Verdicts!$D$2:$D$101,"negative_control")</f>
        <v>26</v>
      </c>
      <c r="D26" s="8" t="n">
        <f aca="false">IF(C26=0,"",B26/C26)</f>
        <v>0</v>
      </c>
      <c r="E26" s="8" t="n">
        <f aca="false">IF(C26=0,"",MAX(0,((B26/C26)+1.96^2/(2*C26)-1.96*SQRT((B26/C26)*(1-(B26/C26))/C26+1.96^2/(4*C26^2)))/(1+1.96^2/C26)))</f>
        <v>0</v>
      </c>
      <c r="F26" s="8" t="n">
        <f aca="false">IF(C26=0,"",MIN(1,((B26/C26)+1.96^2/(2*C26)+1.96*SQRT((B26/C26)*(1-(B26/C26))/C26+1.96^2/(4*C26^2)))/(1+1.96^2/C26)))</f>
        <v>0.128733043804622</v>
      </c>
      <c r="G26" s="7"/>
      <c r="H26" s="7"/>
      <c r="I26" s="7"/>
      <c r="J26" s="7"/>
      <c r="K26" s="7"/>
    </row>
    <row r="27" customFormat="false" ht="15" hidden="false" customHeight="true" outlineLevel="0" collapsed="false">
      <c r="A27" s="7" t="s">
        <v>40</v>
      </c>
      <c r="B27" s="7" t="n">
        <f aca="false">COUNTIFS(Verdicts!$D$2:$D$101,"&lt;&gt;negative_control",Verdicts!$R$2:$R$101,"corroborated",Verdicts!$I$2:$I$101,"not_assessable_no_site")</f>
        <v>5</v>
      </c>
      <c r="C27" s="7" t="n">
        <f aca="false">COUNTIFS(Verdicts!$D$2:$D$101,"&lt;&gt;negative_control",Verdicts!$I$2:$I$101,"not_assessable_no_site")</f>
        <v>26</v>
      </c>
      <c r="D27" s="8" t="n">
        <f aca="false">IF(C27=0,"",B27/C27)</f>
        <v>0.192307692307692</v>
      </c>
      <c r="E27" s="8" t="n">
        <f aca="false">IF(C27=0,"",MAX(0,((B27/C27)+1.96^2/(2*C27)-1.96*SQRT((B27/C27)*(1-(B27/C27))/C27+1.96^2/(4*C27^2)))/(1+1.96^2/C27)))</f>
        <v>0.0850693577178827</v>
      </c>
      <c r="F27" s="8" t="n">
        <f aca="false">IF(C27=0,"",MIN(1,((B27/C27)+1.96^2/(2*C27)+1.96*SQRT((B27/C27)*(1-(B27/C27))/C27+1.96^2/(4*C27^2)))/(1+1.96^2/C27)))</f>
        <v>0.3787663615465</v>
      </c>
      <c r="G27" s="7"/>
      <c r="H27" s="7"/>
      <c r="I27" s="7"/>
      <c r="J27" s="7"/>
      <c r="K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true" outlineLevel="0" collapsed="false">
      <c r="A29" s="4" t="s">
        <v>41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customFormat="false" ht="26.25" hidden="false" customHeight="true" outlineLevel="0" collapsed="false">
      <c r="A30" s="5"/>
      <c r="B30" s="5" t="s">
        <v>42</v>
      </c>
      <c r="C30" s="5" t="s">
        <v>43</v>
      </c>
      <c r="D30" s="5" t="s">
        <v>25</v>
      </c>
      <c r="E30" s="7"/>
      <c r="F30" s="7"/>
      <c r="G30" s="7"/>
      <c r="H30" s="7"/>
      <c r="I30" s="7"/>
      <c r="J30" s="7"/>
      <c r="K30" s="7"/>
    </row>
    <row r="31" customFormat="false" ht="15" hidden="false" customHeight="true" outlineLevel="0" collapsed="false">
      <c r="A31" s="7" t="s">
        <v>44</v>
      </c>
      <c r="B31" s="7" t="n">
        <f aca="false">COUNTIFS(Verdicts!$D$2:$D$101,"&lt;&gt;negative_control",Verdicts!$I$2:$I$101,"&lt;&gt;not_assessable_no_site",Verdicts!$I$2:$I$101,"corroborated",Verdicts!$R$2:$R$101,"corroborated")</f>
        <v>7</v>
      </c>
      <c r="C31" s="7" t="n">
        <f aca="false">COUNTIFS(Verdicts!$D$2:$D$101,"&lt;&gt;negative_control",Verdicts!$I$2:$I$101,"&lt;&gt;not_assessable_no_site",Verdicts!$I$2:$I$101,"corroborated",Verdicts!$R$2:$R$101,"&lt;&gt;corroborated")</f>
        <v>10</v>
      </c>
      <c r="D31" s="7" t="n">
        <f aca="false">B31+C31</f>
        <v>17</v>
      </c>
      <c r="E31" s="7"/>
      <c r="F31" s="7"/>
      <c r="G31" s="7"/>
      <c r="H31" s="7"/>
      <c r="I31" s="7"/>
      <c r="J31" s="7"/>
      <c r="K31" s="7"/>
    </row>
    <row r="32" customFormat="false" ht="15" hidden="false" customHeight="true" outlineLevel="0" collapsed="false">
      <c r="A32" s="7" t="s">
        <v>45</v>
      </c>
      <c r="B32" s="7" t="n">
        <f aca="false">COUNTIFS(Verdicts!$D$2:$D$101,"&lt;&gt;negative_control",Verdicts!$I$2:$I$101,"&lt;&gt;not_assessable_no_site",Verdicts!$I$2:$I$101,"&lt;&gt;corroborated",Verdicts!$R$2:$R$101,"corroborated")</f>
        <v>1</v>
      </c>
      <c r="C32" s="7" t="n">
        <f aca="false">COUNTIFS(Verdicts!$D$2:$D$101,"&lt;&gt;negative_control",Verdicts!$I$2:$I$101,"&lt;&gt;not_assessable_no_site",Verdicts!$I$2:$I$101,"&lt;&gt;corroborated",Verdicts!$R$2:$R$101,"&lt;&gt;corroborated")</f>
        <v>30</v>
      </c>
      <c r="D32" s="7" t="n">
        <f aca="false">B32+C32</f>
        <v>31</v>
      </c>
      <c r="E32" s="7"/>
      <c r="F32" s="7"/>
      <c r="G32" s="7"/>
      <c r="H32" s="7"/>
      <c r="I32" s="7"/>
      <c r="J32" s="7"/>
      <c r="K32" s="7"/>
    </row>
    <row r="33" customFormat="false" ht="15" hidden="false" customHeight="true" outlineLevel="0" collapsed="false">
      <c r="A33" s="4" t="s">
        <v>25</v>
      </c>
      <c r="B33" s="4" t="n">
        <f aca="false">B31+B32</f>
        <v>8</v>
      </c>
      <c r="C33" s="4" t="n">
        <f aca="false">C31+C32</f>
        <v>40</v>
      </c>
      <c r="D33" s="4" t="n">
        <f aca="false">D31+D32</f>
        <v>48</v>
      </c>
      <c r="E33" s="7"/>
      <c r="F33" s="7"/>
      <c r="G33" s="7"/>
      <c r="H33" s="7"/>
      <c r="I33" s="7"/>
      <c r="J33" s="7"/>
      <c r="K33" s="7"/>
    </row>
    <row r="34" customFormat="false" ht="15" hidden="false" customHeight="true" outlineLevel="0" collapsed="false">
      <c r="A34" s="3" t="s">
        <v>46</v>
      </c>
      <c r="B34" s="7"/>
      <c r="C34" s="7"/>
      <c r="D34" s="7"/>
      <c r="E34" s="7"/>
      <c r="F34" s="7"/>
      <c r="G34" s="7"/>
      <c r="H34" s="7"/>
      <c r="I34" s="7"/>
      <c r="J34" s="7"/>
      <c r="K3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0"/>
    <col collapsed="false" customWidth="true" hidden="false" outlineLevel="0" max="3" min="3" style="1" width="40"/>
    <col collapsed="false" customWidth="true" hidden="false" outlineLevel="0" max="4" min="4" style="1" width="35"/>
  </cols>
  <sheetData>
    <row r="1" customFormat="false" ht="17.25" hidden="false" customHeight="true" outlineLevel="0" collapsed="false">
      <c r="A1" s="2" t="s">
        <v>47</v>
      </c>
    </row>
    <row r="3" customFormat="false" ht="15" hidden="false" customHeight="true" outlineLevel="0" collapsed="false">
      <c r="A3" s="5" t="s">
        <v>48</v>
      </c>
      <c r="B3" s="5" t="s">
        <v>49</v>
      </c>
      <c r="C3" s="5" t="s">
        <v>50</v>
      </c>
      <c r="D3" s="5" t="s">
        <v>51</v>
      </c>
    </row>
    <row r="4" customFormat="false" ht="51.75" hidden="false" customHeight="true" outlineLevel="0" collapsed="false">
      <c r="A4" s="9" t="n">
        <v>1</v>
      </c>
      <c r="B4" s="9" t="s">
        <v>52</v>
      </c>
      <c r="C4" s="9" t="s">
        <v>53</v>
      </c>
      <c r="D4" s="9" t="s">
        <v>54</v>
      </c>
    </row>
    <row r="5" customFormat="false" ht="39" hidden="false" customHeight="true" outlineLevel="0" collapsed="false">
      <c r="A5" s="9" t="n">
        <v>2</v>
      </c>
      <c r="B5" s="9" t="s">
        <v>55</v>
      </c>
      <c r="C5" s="9" t="s">
        <v>56</v>
      </c>
      <c r="D5" s="9" t="s">
        <v>57</v>
      </c>
    </row>
    <row r="6" customFormat="false" ht="26.25" hidden="false" customHeight="true" outlineLevel="0" collapsed="false">
      <c r="A6" s="9" t="n">
        <v>3</v>
      </c>
      <c r="B6" s="9" t="s">
        <v>58</v>
      </c>
      <c r="C6" s="9" t="s">
        <v>59</v>
      </c>
      <c r="D6" s="9" t="s">
        <v>60</v>
      </c>
    </row>
    <row r="7" customFormat="false" ht="26.25" hidden="false" customHeight="true" outlineLevel="0" collapsed="false">
      <c r="A7" s="9" t="n">
        <v>4</v>
      </c>
      <c r="B7" s="9" t="s">
        <v>61</v>
      </c>
      <c r="C7" s="9" t="s">
        <v>62</v>
      </c>
      <c r="D7" s="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64</v>
      </c>
    </row>
    <row r="3" customFormat="false" ht="15" hidden="false" customHeight="true" outlineLevel="0" collapsed="false">
      <c r="A3" s="5" t="s">
        <v>65</v>
      </c>
      <c r="B3" s="5" t="s">
        <v>66</v>
      </c>
      <c r="C3" s="5" t="s">
        <v>67</v>
      </c>
      <c r="D3" s="5" t="s">
        <v>68</v>
      </c>
    </row>
    <row r="4" customFormat="false" ht="26.25" hidden="false" customHeight="true" outlineLevel="0" collapsed="false">
      <c r="A4" s="9" t="s">
        <v>69</v>
      </c>
      <c r="B4" s="9" t="s">
        <v>70</v>
      </c>
      <c r="C4" s="9" t="s">
        <v>71</v>
      </c>
      <c r="D4" s="9" t="s">
        <v>72</v>
      </c>
    </row>
    <row r="5" customFormat="false" ht="26.25" hidden="false" customHeight="true" outlineLevel="0" collapsed="false">
      <c r="A5" s="9" t="s">
        <v>73</v>
      </c>
      <c r="B5" s="9" t="s">
        <v>74</v>
      </c>
      <c r="C5" s="9" t="s">
        <v>75</v>
      </c>
      <c r="D5" s="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77</v>
      </c>
    </row>
    <row r="3" customFormat="false" ht="15" hidden="false" customHeight="true" outlineLevel="0" collapsed="false">
      <c r="A3" s="5" t="s">
        <v>78</v>
      </c>
      <c r="B3" s="5" t="s">
        <v>79</v>
      </c>
    </row>
    <row r="4" customFormat="false" ht="26.25" hidden="false" customHeight="true" outlineLevel="0" collapsed="false">
      <c r="A4" s="9" t="s">
        <v>80</v>
      </c>
      <c r="B4" s="9" t="s">
        <v>81</v>
      </c>
    </row>
    <row r="5" customFormat="false" ht="26.25" hidden="false" customHeight="true" outlineLevel="0" collapsed="false">
      <c r="A5" s="9" t="s">
        <v>19</v>
      </c>
      <c r="B5" s="9" t="s">
        <v>82</v>
      </c>
    </row>
    <row r="6" customFormat="false" ht="15" hidden="false" customHeight="true" outlineLevel="0" collapsed="false">
      <c r="A6" s="9" t="s">
        <v>20</v>
      </c>
      <c r="B6" s="9" t="s">
        <v>83</v>
      </c>
    </row>
    <row r="7" customFormat="false" ht="15" hidden="false" customHeight="true" outlineLevel="0" collapsed="false">
      <c r="A7" s="9" t="s">
        <v>21</v>
      </c>
      <c r="B7" s="9" t="s">
        <v>84</v>
      </c>
    </row>
    <row r="8" customFormat="false" ht="26.25" hidden="false" customHeight="true" outlineLevel="0" collapsed="false">
      <c r="A8" s="9" t="s">
        <v>22</v>
      </c>
      <c r="B8" s="9" t="s">
        <v>85</v>
      </c>
    </row>
    <row r="9" customFormat="false" ht="15" hidden="false" customHeight="true" outlineLevel="0" collapsed="false">
      <c r="A9" s="9" t="s">
        <v>23</v>
      </c>
      <c r="B9" s="9" t="s">
        <v>86</v>
      </c>
    </row>
    <row r="10" customFormat="false" ht="15" hidden="false" customHeight="true" outlineLevel="0" collapsed="false">
      <c r="A10" s="9" t="s">
        <v>24</v>
      </c>
      <c r="B10" s="9" t="s">
        <v>87</v>
      </c>
    </row>
    <row r="11" customFormat="false" ht="26.25" hidden="false" customHeight="true" outlineLevel="0" collapsed="false">
      <c r="A11" s="9" t="s">
        <v>88</v>
      </c>
      <c r="B11" s="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36"/>
    <col collapsed="false" customWidth="true" hidden="false" outlineLevel="0" max="6" min="6" style="1" width="17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70"/>
    <col collapsed="false" customWidth="true" hidden="false" outlineLevel="0" max="12" min="12" style="1" width="16"/>
    <col collapsed="false" customWidth="true" hidden="false" outlineLevel="0" max="13" min="13" style="1" width="9"/>
    <col collapsed="false" customWidth="true" hidden="false" outlineLevel="0" max="14" min="14" style="1" width="18"/>
    <col collapsed="false" customWidth="true" hidden="false" outlineLevel="0" max="15" min="15" style="1" width="10"/>
    <col collapsed="false" customWidth="true" hidden="false" outlineLevel="0" max="16" min="16" style="1" width="22"/>
    <col collapsed="false" customWidth="true" hidden="false" outlineLevel="0" max="17" min="17" style="1" width="10"/>
    <col collapsed="false" customWidth="true" hidden="false" outlineLevel="0" max="18" min="18" style="1" width="16"/>
    <col collapsed="false" customWidth="true" hidden="false" outlineLevel="0" max="20" min="19" style="1" width="11"/>
    <col collapsed="false" customWidth="true" hidden="false" outlineLevel="0" max="21" min="21" style="1" width="9"/>
  </cols>
  <sheetData>
    <row r="1" customFormat="false" ht="64.5" hidden="false" customHeight="true" outlineLevel="0" collapsed="false">
      <c r="A1" s="10" t="s">
        <v>90</v>
      </c>
      <c r="B1" s="10" t="s">
        <v>91</v>
      </c>
      <c r="C1" s="10" t="s">
        <v>92</v>
      </c>
      <c r="D1" s="10" t="s">
        <v>93</v>
      </c>
      <c r="E1" s="10" t="s">
        <v>94</v>
      </c>
      <c r="F1" s="10" t="s">
        <v>95</v>
      </c>
      <c r="G1" s="10" t="s">
        <v>96</v>
      </c>
      <c r="H1" s="10" t="s">
        <v>97</v>
      </c>
      <c r="I1" s="10" t="s">
        <v>98</v>
      </c>
      <c r="J1" s="10" t="s">
        <v>99</v>
      </c>
      <c r="K1" s="10" t="s">
        <v>100</v>
      </c>
      <c r="L1" s="10" t="s">
        <v>101</v>
      </c>
      <c r="M1" s="10" t="s">
        <v>102</v>
      </c>
      <c r="N1" s="10" t="s">
        <v>103</v>
      </c>
      <c r="O1" s="10" t="s">
        <v>104</v>
      </c>
      <c r="P1" s="10" t="s">
        <v>105</v>
      </c>
      <c r="Q1" s="10" t="s">
        <v>106</v>
      </c>
      <c r="R1" s="10" t="s">
        <v>107</v>
      </c>
      <c r="S1" s="10" t="s">
        <v>108</v>
      </c>
      <c r="T1" s="10" t="s">
        <v>109</v>
      </c>
      <c r="U1" s="10" t="s">
        <v>110</v>
      </c>
    </row>
    <row r="2" customFormat="false" ht="15" hidden="false" customHeight="true" outlineLevel="0" collapsed="false">
      <c r="A2" s="7" t="s">
        <v>111</v>
      </c>
      <c r="B2" s="7" t="s">
        <v>112</v>
      </c>
      <c r="C2" s="7" t="s">
        <v>113</v>
      </c>
      <c r="D2" s="7" t="s">
        <v>35</v>
      </c>
      <c r="E2" s="7" t="s">
        <v>114</v>
      </c>
      <c r="F2" s="7" t="s">
        <v>115</v>
      </c>
      <c r="G2" s="7" t="s">
        <v>116</v>
      </c>
      <c r="H2" s="7" t="s">
        <v>117</v>
      </c>
      <c r="I2" s="7" t="s">
        <v>19</v>
      </c>
      <c r="J2" s="7" t="s">
        <v>118</v>
      </c>
      <c r="K2" s="7" t="s">
        <v>119</v>
      </c>
      <c r="L2" s="7" t="s">
        <v>120</v>
      </c>
      <c r="M2" s="7" t="s">
        <v>121</v>
      </c>
      <c r="N2" s="7" t="s">
        <v>122</v>
      </c>
      <c r="O2" s="7" t="s">
        <v>121</v>
      </c>
      <c r="P2" s="7" t="s">
        <v>123</v>
      </c>
      <c r="Q2" s="7" t="s">
        <v>124</v>
      </c>
      <c r="R2" s="7" t="s">
        <v>19</v>
      </c>
      <c r="S2" s="7" t="n">
        <v>3</v>
      </c>
      <c r="T2" s="11" t="n">
        <v>0</v>
      </c>
      <c r="U2" s="12" t="n">
        <v>0</v>
      </c>
    </row>
    <row r="3" customFormat="false" ht="15" hidden="false" customHeight="true" outlineLevel="0" collapsed="false">
      <c r="A3" s="7" t="s">
        <v>125</v>
      </c>
      <c r="B3" s="7" t="s">
        <v>126</v>
      </c>
      <c r="C3" s="7" t="s">
        <v>113</v>
      </c>
      <c r="D3" s="7" t="s">
        <v>35</v>
      </c>
      <c r="E3" s="7" t="s">
        <v>127</v>
      </c>
      <c r="F3" s="7" t="s">
        <v>128</v>
      </c>
      <c r="G3" s="7" t="s">
        <v>116</v>
      </c>
      <c r="H3" s="7" t="s">
        <v>117</v>
      </c>
      <c r="I3" s="7" t="s">
        <v>22</v>
      </c>
      <c r="J3" s="7"/>
      <c r="K3" s="7" t="s">
        <v>129</v>
      </c>
      <c r="L3" s="7" t="s">
        <v>120</v>
      </c>
      <c r="M3" s="7" t="s">
        <v>124</v>
      </c>
      <c r="N3" s="7" t="s">
        <v>130</v>
      </c>
      <c r="O3" s="7" t="s">
        <v>121</v>
      </c>
      <c r="P3" s="7" t="s">
        <v>123</v>
      </c>
      <c r="Q3" s="7" t="s">
        <v>124</v>
      </c>
      <c r="R3" s="7" t="s">
        <v>23</v>
      </c>
      <c r="S3" s="7" t="n">
        <v>0</v>
      </c>
      <c r="T3" s="11" t="n">
        <v>0.08</v>
      </c>
      <c r="U3" s="12" t="n">
        <v>1</v>
      </c>
    </row>
    <row r="4" customFormat="false" ht="15" hidden="false" customHeight="true" outlineLevel="0" collapsed="false">
      <c r="A4" s="7" t="s">
        <v>131</v>
      </c>
      <c r="B4" s="7" t="s">
        <v>126</v>
      </c>
      <c r="C4" s="7" t="s">
        <v>113</v>
      </c>
      <c r="D4" s="7" t="s">
        <v>35</v>
      </c>
      <c r="E4" s="7" t="s">
        <v>127</v>
      </c>
      <c r="F4" s="7" t="s">
        <v>132</v>
      </c>
      <c r="G4" s="7" t="s">
        <v>116</v>
      </c>
      <c r="H4" s="7" t="s">
        <v>117</v>
      </c>
      <c r="I4" s="7" t="s">
        <v>23</v>
      </c>
      <c r="J4" s="7"/>
      <c r="K4" s="7" t="s">
        <v>133</v>
      </c>
      <c r="L4" s="7" t="s">
        <v>120</v>
      </c>
      <c r="M4" s="7" t="s">
        <v>124</v>
      </c>
      <c r="N4" s="7" t="s">
        <v>130</v>
      </c>
      <c r="O4" s="7" t="s">
        <v>121</v>
      </c>
      <c r="P4" s="7" t="s">
        <v>123</v>
      </c>
      <c r="Q4" s="7" t="s">
        <v>124</v>
      </c>
      <c r="R4" s="7" t="s">
        <v>23</v>
      </c>
      <c r="S4" s="7" t="n">
        <v>0</v>
      </c>
      <c r="T4" s="11" t="n">
        <v>1.25</v>
      </c>
      <c r="U4" s="12" t="n">
        <v>1</v>
      </c>
    </row>
    <row r="5" customFormat="false" ht="15" hidden="false" customHeight="true" outlineLevel="0" collapsed="false">
      <c r="A5" s="7" t="s">
        <v>134</v>
      </c>
      <c r="B5" s="7" t="s">
        <v>135</v>
      </c>
      <c r="C5" s="7" t="s">
        <v>136</v>
      </c>
      <c r="D5" s="7" t="s">
        <v>35</v>
      </c>
      <c r="E5" s="7" t="s">
        <v>137</v>
      </c>
      <c r="F5" s="7" t="s">
        <v>138</v>
      </c>
      <c r="G5" s="7" t="s">
        <v>116</v>
      </c>
      <c r="H5" s="7" t="s">
        <v>117</v>
      </c>
      <c r="I5" s="7" t="s">
        <v>23</v>
      </c>
      <c r="J5" s="7"/>
      <c r="K5" s="7" t="s">
        <v>133</v>
      </c>
      <c r="L5" s="7" t="s">
        <v>120</v>
      </c>
      <c r="M5" s="7" t="s">
        <v>124</v>
      </c>
      <c r="N5" s="7" t="s">
        <v>130</v>
      </c>
      <c r="O5" s="7" t="s">
        <v>121</v>
      </c>
      <c r="P5" s="7" t="s">
        <v>123</v>
      </c>
      <c r="Q5" s="7" t="s">
        <v>124</v>
      </c>
      <c r="R5" s="7" t="s">
        <v>23</v>
      </c>
      <c r="S5" s="7" t="n">
        <v>0</v>
      </c>
      <c r="T5" s="11" t="n">
        <v>0.17</v>
      </c>
      <c r="U5" s="12" t="n">
        <v>1</v>
      </c>
    </row>
    <row r="6" customFormat="false" ht="15" hidden="false" customHeight="true" outlineLevel="0" collapsed="false">
      <c r="A6" s="7" t="s">
        <v>139</v>
      </c>
      <c r="B6" s="7" t="s">
        <v>135</v>
      </c>
      <c r="C6" s="7" t="s">
        <v>136</v>
      </c>
      <c r="D6" s="7" t="s">
        <v>35</v>
      </c>
      <c r="E6" s="7" t="s">
        <v>137</v>
      </c>
      <c r="F6" s="7" t="s">
        <v>140</v>
      </c>
      <c r="G6" s="7" t="s">
        <v>116</v>
      </c>
      <c r="H6" s="7" t="s">
        <v>117</v>
      </c>
      <c r="I6" s="7" t="s">
        <v>23</v>
      </c>
      <c r="J6" s="7"/>
      <c r="K6" s="7" t="s">
        <v>133</v>
      </c>
      <c r="L6" s="7" t="s">
        <v>120</v>
      </c>
      <c r="M6" s="7" t="s">
        <v>124</v>
      </c>
      <c r="N6" s="7" t="s">
        <v>130</v>
      </c>
      <c r="O6" s="7" t="s">
        <v>121</v>
      </c>
      <c r="P6" s="7" t="s">
        <v>141</v>
      </c>
      <c r="Q6" s="7" t="s">
        <v>124</v>
      </c>
      <c r="R6" s="7" t="s">
        <v>23</v>
      </c>
      <c r="S6" s="7" t="n">
        <v>0</v>
      </c>
      <c r="T6" s="11" t="n">
        <v>0.25</v>
      </c>
      <c r="U6" s="12" t="n">
        <v>1</v>
      </c>
    </row>
    <row r="7" customFormat="false" ht="15" hidden="false" customHeight="true" outlineLevel="0" collapsed="false">
      <c r="A7" s="7" t="s">
        <v>142</v>
      </c>
      <c r="B7" s="7" t="s">
        <v>143</v>
      </c>
      <c r="C7" s="7" t="s">
        <v>113</v>
      </c>
      <c r="D7" s="7" t="s">
        <v>35</v>
      </c>
      <c r="E7" s="7" t="s">
        <v>144</v>
      </c>
      <c r="F7" s="7" t="s">
        <v>145</v>
      </c>
      <c r="G7" s="7" t="s">
        <v>116</v>
      </c>
      <c r="H7" s="7" t="s">
        <v>117</v>
      </c>
      <c r="I7" s="7" t="s">
        <v>19</v>
      </c>
      <c r="J7" s="7" t="s">
        <v>146</v>
      </c>
      <c r="K7" s="7" t="s">
        <v>147</v>
      </c>
      <c r="L7" s="7" t="s">
        <v>120</v>
      </c>
      <c r="M7" s="7" t="s">
        <v>124</v>
      </c>
      <c r="N7" s="7" t="s">
        <v>130</v>
      </c>
      <c r="O7" s="7" t="s">
        <v>124</v>
      </c>
      <c r="P7" s="7" t="s">
        <v>123</v>
      </c>
      <c r="Q7" s="7" t="s">
        <v>124</v>
      </c>
      <c r="R7" s="7" t="s">
        <v>19</v>
      </c>
      <c r="S7" s="7" t="n">
        <v>4</v>
      </c>
      <c r="T7" s="11" t="n">
        <v>0</v>
      </c>
      <c r="U7" s="12" t="n">
        <v>0</v>
      </c>
    </row>
    <row r="8" customFormat="false" ht="15" hidden="false" customHeight="true" outlineLevel="0" collapsed="false">
      <c r="A8" s="7" t="s">
        <v>148</v>
      </c>
      <c r="B8" s="7" t="s">
        <v>149</v>
      </c>
      <c r="C8" s="7" t="s">
        <v>136</v>
      </c>
      <c r="D8" s="7" t="s">
        <v>35</v>
      </c>
      <c r="E8" s="7" t="s">
        <v>150</v>
      </c>
      <c r="F8" s="7" t="s">
        <v>151</v>
      </c>
      <c r="G8" s="7" t="s">
        <v>116</v>
      </c>
      <c r="H8" s="7" t="s">
        <v>117</v>
      </c>
      <c r="I8" s="7" t="s">
        <v>22</v>
      </c>
      <c r="J8" s="7"/>
      <c r="K8" s="7" t="s">
        <v>152</v>
      </c>
      <c r="L8" s="7" t="s">
        <v>120</v>
      </c>
      <c r="M8" s="7" t="s">
        <v>124</v>
      </c>
      <c r="N8" s="7" t="s">
        <v>130</v>
      </c>
      <c r="O8" s="7" t="s">
        <v>121</v>
      </c>
      <c r="P8" s="7" t="s">
        <v>153</v>
      </c>
      <c r="Q8" s="7" t="s">
        <v>124</v>
      </c>
      <c r="R8" s="7" t="s">
        <v>23</v>
      </c>
      <c r="S8" s="7" t="n">
        <v>0</v>
      </c>
      <c r="T8" s="11" t="n">
        <v>0</v>
      </c>
      <c r="U8" s="12" t="n">
        <v>1</v>
      </c>
    </row>
    <row r="9" customFormat="false" ht="15" hidden="false" customHeight="true" outlineLevel="0" collapsed="false">
      <c r="A9" s="7" t="s">
        <v>154</v>
      </c>
      <c r="B9" s="7" t="s">
        <v>149</v>
      </c>
      <c r="C9" s="7" t="s">
        <v>136</v>
      </c>
      <c r="D9" s="7" t="s">
        <v>35</v>
      </c>
      <c r="E9" s="7" t="s">
        <v>150</v>
      </c>
      <c r="F9" s="7" t="s">
        <v>155</v>
      </c>
      <c r="G9" s="7" t="s">
        <v>116</v>
      </c>
      <c r="H9" s="7" t="s">
        <v>117</v>
      </c>
      <c r="I9" s="7" t="s">
        <v>19</v>
      </c>
      <c r="J9" s="7" t="s">
        <v>146</v>
      </c>
      <c r="K9" s="7" t="s">
        <v>156</v>
      </c>
      <c r="L9" s="7" t="s">
        <v>120</v>
      </c>
      <c r="M9" s="7" t="s">
        <v>124</v>
      </c>
      <c r="N9" s="7" t="s">
        <v>157</v>
      </c>
      <c r="O9" s="7" t="s">
        <v>121</v>
      </c>
      <c r="P9" s="7" t="s">
        <v>153</v>
      </c>
      <c r="Q9" s="7" t="s">
        <v>124</v>
      </c>
      <c r="R9" s="7" t="s">
        <v>23</v>
      </c>
      <c r="S9" s="7" t="n">
        <v>2</v>
      </c>
      <c r="T9" s="11" t="n">
        <v>2.25</v>
      </c>
      <c r="U9" s="12" t="n">
        <v>0.6575</v>
      </c>
    </row>
    <row r="10" customFormat="false" ht="15" hidden="false" customHeight="true" outlineLevel="0" collapsed="false">
      <c r="A10" s="7" t="s">
        <v>158</v>
      </c>
      <c r="B10" s="7" t="s">
        <v>159</v>
      </c>
      <c r="C10" s="7" t="s">
        <v>113</v>
      </c>
      <c r="D10" s="7" t="s">
        <v>35</v>
      </c>
      <c r="E10" s="7" t="s">
        <v>160</v>
      </c>
      <c r="F10" s="7" t="s">
        <v>161</v>
      </c>
      <c r="G10" s="7" t="s">
        <v>116</v>
      </c>
      <c r="H10" s="7" t="s">
        <v>117</v>
      </c>
      <c r="I10" s="7" t="s">
        <v>23</v>
      </c>
      <c r="J10" s="7"/>
      <c r="K10" s="7" t="s">
        <v>133</v>
      </c>
      <c r="L10" s="7" t="s">
        <v>120</v>
      </c>
      <c r="M10" s="7" t="s">
        <v>124</v>
      </c>
      <c r="N10" s="7" t="s">
        <v>130</v>
      </c>
      <c r="O10" s="7" t="s">
        <v>121</v>
      </c>
      <c r="P10" s="7" t="s">
        <v>123</v>
      </c>
      <c r="Q10" s="7" t="s">
        <v>124</v>
      </c>
      <c r="R10" s="7" t="s">
        <v>23</v>
      </c>
      <c r="S10" s="7" t="n">
        <v>0</v>
      </c>
      <c r="T10" s="11" t="n">
        <v>0.42</v>
      </c>
      <c r="U10" s="12" t="n">
        <v>1</v>
      </c>
    </row>
    <row r="11" customFormat="false" ht="15" hidden="false" customHeight="true" outlineLevel="0" collapsed="false">
      <c r="A11" s="7" t="s">
        <v>162</v>
      </c>
      <c r="B11" s="7" t="s">
        <v>159</v>
      </c>
      <c r="C11" s="7" t="s">
        <v>113</v>
      </c>
      <c r="D11" s="7" t="s">
        <v>35</v>
      </c>
      <c r="E11" s="7" t="s">
        <v>160</v>
      </c>
      <c r="F11" s="7" t="s">
        <v>163</v>
      </c>
      <c r="G11" s="7" t="s">
        <v>116</v>
      </c>
      <c r="H11" s="7" t="s">
        <v>117</v>
      </c>
      <c r="I11" s="7" t="s">
        <v>19</v>
      </c>
      <c r="J11" s="7" t="s">
        <v>146</v>
      </c>
      <c r="K11" s="7" t="s">
        <v>164</v>
      </c>
      <c r="L11" s="7" t="s">
        <v>120</v>
      </c>
      <c r="M11" s="7" t="s">
        <v>124</v>
      </c>
      <c r="N11" s="7" t="s">
        <v>130</v>
      </c>
      <c r="O11" s="7" t="s">
        <v>121</v>
      </c>
      <c r="P11" s="7" t="s">
        <v>123</v>
      </c>
      <c r="Q11" s="7" t="s">
        <v>124</v>
      </c>
      <c r="R11" s="7" t="s">
        <v>23</v>
      </c>
      <c r="S11" s="7" t="n">
        <v>1</v>
      </c>
      <c r="T11" s="11" t="n">
        <v>2.08</v>
      </c>
      <c r="U11" s="12" t="n">
        <v>0.8755</v>
      </c>
    </row>
    <row r="12" customFormat="false" ht="15" hidden="false" customHeight="true" outlineLevel="0" collapsed="false">
      <c r="A12" s="7" t="s">
        <v>165</v>
      </c>
      <c r="B12" s="7" t="s">
        <v>159</v>
      </c>
      <c r="C12" s="7" t="s">
        <v>113</v>
      </c>
      <c r="D12" s="7" t="s">
        <v>35</v>
      </c>
      <c r="E12" s="7" t="s">
        <v>160</v>
      </c>
      <c r="F12" s="7" t="s">
        <v>166</v>
      </c>
      <c r="G12" s="7" t="s">
        <v>116</v>
      </c>
      <c r="H12" s="7" t="s">
        <v>117</v>
      </c>
      <c r="I12" s="7" t="s">
        <v>19</v>
      </c>
      <c r="J12" s="7" t="s">
        <v>146</v>
      </c>
      <c r="K12" s="7" t="s">
        <v>167</v>
      </c>
      <c r="L12" s="7" t="s">
        <v>120</v>
      </c>
      <c r="M12" s="7" t="s">
        <v>124</v>
      </c>
      <c r="N12" s="7" t="s">
        <v>122</v>
      </c>
      <c r="O12" s="7" t="s">
        <v>121</v>
      </c>
      <c r="P12" s="7" t="s">
        <v>123</v>
      </c>
      <c r="Q12" s="7" t="s">
        <v>124</v>
      </c>
      <c r="R12" s="7" t="s">
        <v>19</v>
      </c>
      <c r="S12" s="7" t="n">
        <v>9</v>
      </c>
      <c r="T12" s="11" t="n">
        <v>1.08</v>
      </c>
      <c r="U12" s="12" t="n">
        <v>0</v>
      </c>
    </row>
    <row r="13" customFormat="false" ht="15" hidden="false" customHeight="true" outlineLevel="0" collapsed="false">
      <c r="A13" s="7" t="s">
        <v>168</v>
      </c>
      <c r="B13" s="7" t="s">
        <v>169</v>
      </c>
      <c r="C13" s="7" t="s">
        <v>113</v>
      </c>
      <c r="D13" s="7" t="s">
        <v>35</v>
      </c>
      <c r="E13" s="7" t="s">
        <v>170</v>
      </c>
      <c r="F13" s="7" t="s">
        <v>171</v>
      </c>
      <c r="G13" s="7" t="s">
        <v>116</v>
      </c>
      <c r="H13" s="7" t="s">
        <v>117</v>
      </c>
      <c r="I13" s="7" t="s">
        <v>23</v>
      </c>
      <c r="J13" s="7"/>
      <c r="K13" s="7" t="s">
        <v>133</v>
      </c>
      <c r="L13" s="7" t="s">
        <v>120</v>
      </c>
      <c r="M13" s="7" t="s">
        <v>121</v>
      </c>
      <c r="N13" s="7" t="s">
        <v>157</v>
      </c>
      <c r="O13" s="7" t="s">
        <v>121</v>
      </c>
      <c r="P13" s="7" t="s">
        <v>141</v>
      </c>
      <c r="Q13" s="7" t="s">
        <v>124</v>
      </c>
      <c r="R13" s="7" t="s">
        <v>23</v>
      </c>
      <c r="S13" s="7" t="n">
        <v>0</v>
      </c>
      <c r="T13" s="11" t="n">
        <v>0</v>
      </c>
      <c r="U13" s="12" t="n">
        <v>1</v>
      </c>
    </row>
    <row r="14" customFormat="false" ht="15" hidden="false" customHeight="true" outlineLevel="0" collapsed="false">
      <c r="A14" s="7" t="s">
        <v>172</v>
      </c>
      <c r="B14" s="7" t="s">
        <v>169</v>
      </c>
      <c r="C14" s="7" t="s">
        <v>113</v>
      </c>
      <c r="D14" s="7" t="s">
        <v>35</v>
      </c>
      <c r="E14" s="7" t="s">
        <v>170</v>
      </c>
      <c r="F14" s="7" t="s">
        <v>173</v>
      </c>
      <c r="G14" s="7" t="s">
        <v>116</v>
      </c>
      <c r="H14" s="7" t="s">
        <v>117</v>
      </c>
      <c r="I14" s="7" t="s">
        <v>23</v>
      </c>
      <c r="J14" s="7"/>
      <c r="K14" s="7" t="s">
        <v>133</v>
      </c>
      <c r="L14" s="7" t="s">
        <v>120</v>
      </c>
      <c r="M14" s="7" t="s">
        <v>121</v>
      </c>
      <c r="N14" s="7" t="s">
        <v>130</v>
      </c>
      <c r="O14" s="7" t="s">
        <v>121</v>
      </c>
      <c r="P14" s="7" t="s">
        <v>123</v>
      </c>
      <c r="Q14" s="7" t="s">
        <v>124</v>
      </c>
      <c r="R14" s="7" t="s">
        <v>23</v>
      </c>
      <c r="S14" s="7" t="n">
        <v>0</v>
      </c>
      <c r="T14" s="11" t="n">
        <v>0.25</v>
      </c>
      <c r="U14" s="12" t="n">
        <v>1</v>
      </c>
    </row>
    <row r="15" customFormat="false" ht="15" hidden="false" customHeight="true" outlineLevel="0" collapsed="false">
      <c r="A15" s="7" t="s">
        <v>174</v>
      </c>
      <c r="B15" s="7" t="s">
        <v>175</v>
      </c>
      <c r="C15" s="7" t="s">
        <v>136</v>
      </c>
      <c r="D15" s="7" t="s">
        <v>35</v>
      </c>
      <c r="E15" s="7" t="s">
        <v>176</v>
      </c>
      <c r="F15" s="7" t="s">
        <v>177</v>
      </c>
      <c r="G15" s="7" t="s">
        <v>116</v>
      </c>
      <c r="H15" s="7" t="s">
        <v>117</v>
      </c>
      <c r="I15" s="7" t="s">
        <v>23</v>
      </c>
      <c r="J15" s="7"/>
      <c r="K15" s="7" t="s">
        <v>133</v>
      </c>
      <c r="L15" s="7" t="s">
        <v>120</v>
      </c>
      <c r="M15" s="7" t="s">
        <v>124</v>
      </c>
      <c r="N15" s="7" t="s">
        <v>130</v>
      </c>
      <c r="O15" s="7" t="s">
        <v>121</v>
      </c>
      <c r="P15" s="7" t="s">
        <v>123</v>
      </c>
      <c r="Q15" s="7" t="s">
        <v>124</v>
      </c>
      <c r="R15" s="7" t="s">
        <v>23</v>
      </c>
      <c r="S15" s="7" t="n">
        <v>0</v>
      </c>
      <c r="T15" s="11" t="n">
        <v>0</v>
      </c>
      <c r="U15" s="12" t="n">
        <v>1</v>
      </c>
    </row>
    <row r="16" customFormat="false" ht="15" hidden="false" customHeight="true" outlineLevel="0" collapsed="false">
      <c r="A16" s="7" t="s">
        <v>178</v>
      </c>
      <c r="B16" s="7" t="s">
        <v>179</v>
      </c>
      <c r="C16" s="7" t="s">
        <v>136</v>
      </c>
      <c r="D16" s="7" t="s">
        <v>35</v>
      </c>
      <c r="E16" s="7" t="s">
        <v>180</v>
      </c>
      <c r="F16" s="7" t="s">
        <v>181</v>
      </c>
      <c r="G16" s="7" t="s">
        <v>116</v>
      </c>
      <c r="H16" s="7" t="s">
        <v>117</v>
      </c>
      <c r="I16" s="7" t="s">
        <v>22</v>
      </c>
      <c r="J16" s="7"/>
      <c r="K16" s="7" t="s">
        <v>182</v>
      </c>
      <c r="L16" s="7" t="s">
        <v>120</v>
      </c>
      <c r="M16" s="7" t="s">
        <v>124</v>
      </c>
      <c r="N16" s="7" t="s">
        <v>157</v>
      </c>
      <c r="O16" s="7" t="s">
        <v>121</v>
      </c>
      <c r="P16" s="7" t="s">
        <v>141</v>
      </c>
      <c r="Q16" s="7" t="s">
        <v>124</v>
      </c>
      <c r="R16" s="7" t="s">
        <v>23</v>
      </c>
      <c r="S16" s="7" t="n">
        <v>0</v>
      </c>
      <c r="T16" s="11" t="n">
        <v>0</v>
      </c>
      <c r="U16" s="12" t="n">
        <v>1</v>
      </c>
    </row>
    <row r="17" customFormat="false" ht="15" hidden="false" customHeight="true" outlineLevel="0" collapsed="false">
      <c r="A17" s="7" t="s">
        <v>183</v>
      </c>
      <c r="B17" s="7" t="s">
        <v>179</v>
      </c>
      <c r="C17" s="7" t="s">
        <v>136</v>
      </c>
      <c r="D17" s="7" t="s">
        <v>35</v>
      </c>
      <c r="E17" s="7" t="s">
        <v>180</v>
      </c>
      <c r="F17" s="7" t="s">
        <v>184</v>
      </c>
      <c r="G17" s="7" t="s">
        <v>116</v>
      </c>
      <c r="H17" s="7" t="s">
        <v>117</v>
      </c>
      <c r="I17" s="7" t="s">
        <v>22</v>
      </c>
      <c r="J17" s="7"/>
      <c r="K17" s="7" t="s">
        <v>185</v>
      </c>
      <c r="L17" s="7" t="s">
        <v>120</v>
      </c>
      <c r="M17" s="7" t="s">
        <v>124</v>
      </c>
      <c r="N17" s="7" t="s">
        <v>130</v>
      </c>
      <c r="O17" s="7" t="s">
        <v>121</v>
      </c>
      <c r="P17" s="7" t="s">
        <v>123</v>
      </c>
      <c r="Q17" s="7" t="s">
        <v>124</v>
      </c>
      <c r="R17" s="7" t="s">
        <v>19</v>
      </c>
      <c r="S17" s="7" t="n">
        <v>10</v>
      </c>
      <c r="T17" s="11" t="n">
        <v>2.67</v>
      </c>
      <c r="U17" s="12" t="n">
        <v>0.0005</v>
      </c>
    </row>
    <row r="18" customFormat="false" ht="15" hidden="false" customHeight="true" outlineLevel="0" collapsed="false">
      <c r="A18" s="7" t="s">
        <v>186</v>
      </c>
      <c r="B18" s="7" t="s">
        <v>187</v>
      </c>
      <c r="C18" s="7" t="s">
        <v>136</v>
      </c>
      <c r="D18" s="7" t="s">
        <v>35</v>
      </c>
      <c r="E18" s="7" t="s">
        <v>188</v>
      </c>
      <c r="F18" s="7" t="s">
        <v>189</v>
      </c>
      <c r="G18" s="7" t="s">
        <v>190</v>
      </c>
      <c r="H18" s="7" t="s">
        <v>117</v>
      </c>
      <c r="I18" s="7" t="s">
        <v>19</v>
      </c>
      <c r="J18" s="7" t="s">
        <v>118</v>
      </c>
      <c r="K18" s="7" t="s">
        <v>191</v>
      </c>
      <c r="L18" s="7" t="s">
        <v>120</v>
      </c>
      <c r="M18" s="7" t="s">
        <v>121</v>
      </c>
      <c r="N18" s="7" t="s">
        <v>122</v>
      </c>
      <c r="O18" s="7" t="s">
        <v>124</v>
      </c>
      <c r="P18" s="7" t="s">
        <v>123</v>
      </c>
      <c r="Q18" s="7" t="s">
        <v>124</v>
      </c>
      <c r="R18" s="7" t="s">
        <v>19</v>
      </c>
      <c r="S18" s="7" t="n">
        <v>30</v>
      </c>
      <c r="T18" s="11" t="n">
        <v>0</v>
      </c>
      <c r="U18" s="12" t="n">
        <v>0</v>
      </c>
    </row>
    <row r="19" customFormat="false" ht="15" hidden="false" customHeight="true" outlineLevel="0" collapsed="false">
      <c r="A19" s="7" t="s">
        <v>192</v>
      </c>
      <c r="B19" s="7" t="s">
        <v>193</v>
      </c>
      <c r="C19" s="7" t="s">
        <v>136</v>
      </c>
      <c r="D19" s="7" t="s">
        <v>35</v>
      </c>
      <c r="E19" s="7" t="s">
        <v>194</v>
      </c>
      <c r="F19" s="7" t="s">
        <v>195</v>
      </c>
      <c r="G19" s="7" t="s">
        <v>116</v>
      </c>
      <c r="H19" s="7" t="s">
        <v>117</v>
      </c>
      <c r="I19" s="7" t="s">
        <v>24</v>
      </c>
      <c r="J19" s="7"/>
      <c r="K19" s="7" t="s">
        <v>196</v>
      </c>
      <c r="L19" s="7"/>
      <c r="M19" s="7" t="s">
        <v>121</v>
      </c>
      <c r="N19" s="7"/>
      <c r="O19" s="7"/>
      <c r="P19" s="7" t="s">
        <v>197</v>
      </c>
      <c r="Q19" s="7" t="s">
        <v>124</v>
      </c>
      <c r="R19" s="7" t="s">
        <v>19</v>
      </c>
      <c r="S19" s="7" t="n">
        <v>10</v>
      </c>
      <c r="T19" s="11" t="n">
        <v>0</v>
      </c>
      <c r="U19" s="12" t="n">
        <v>0</v>
      </c>
    </row>
    <row r="20" customFormat="false" ht="15" hidden="false" customHeight="true" outlineLevel="0" collapsed="false">
      <c r="A20" s="7" t="s">
        <v>198</v>
      </c>
      <c r="B20" s="7" t="s">
        <v>199</v>
      </c>
      <c r="C20" s="7" t="s">
        <v>113</v>
      </c>
      <c r="D20" s="7" t="s">
        <v>35</v>
      </c>
      <c r="E20" s="7" t="s">
        <v>200</v>
      </c>
      <c r="F20" s="7" t="s">
        <v>201</v>
      </c>
      <c r="G20" s="7" t="s">
        <v>116</v>
      </c>
      <c r="H20" s="7" t="s">
        <v>117</v>
      </c>
      <c r="I20" s="7" t="s">
        <v>24</v>
      </c>
      <c r="J20" s="7"/>
      <c r="K20" s="7" t="s">
        <v>196</v>
      </c>
      <c r="L20" s="7"/>
      <c r="M20" s="7" t="s">
        <v>121</v>
      </c>
      <c r="N20" s="7"/>
      <c r="O20" s="7"/>
      <c r="P20" s="7" t="s">
        <v>197</v>
      </c>
      <c r="Q20" s="7" t="s">
        <v>124</v>
      </c>
      <c r="R20" s="7" t="s">
        <v>19</v>
      </c>
      <c r="S20" s="7" t="n">
        <v>18</v>
      </c>
      <c r="T20" s="11" t="n">
        <v>1.83</v>
      </c>
      <c r="U20" s="12" t="n">
        <v>0</v>
      </c>
    </row>
    <row r="21" customFormat="false" ht="15" hidden="false" customHeight="true" outlineLevel="0" collapsed="false">
      <c r="A21" s="7" t="s">
        <v>202</v>
      </c>
      <c r="B21" s="7" t="s">
        <v>203</v>
      </c>
      <c r="C21" s="7" t="s">
        <v>136</v>
      </c>
      <c r="D21" s="7" t="s">
        <v>35</v>
      </c>
      <c r="E21" s="7" t="s">
        <v>204</v>
      </c>
      <c r="F21" s="7" t="s">
        <v>205</v>
      </c>
      <c r="G21" s="7" t="s">
        <v>116</v>
      </c>
      <c r="H21" s="7" t="s">
        <v>117</v>
      </c>
      <c r="I21" s="7" t="s">
        <v>21</v>
      </c>
      <c r="J21" s="7" t="s">
        <v>206</v>
      </c>
      <c r="K21" s="7" t="s">
        <v>207</v>
      </c>
      <c r="L21" s="7" t="s">
        <v>120</v>
      </c>
      <c r="M21" s="7" t="s">
        <v>124</v>
      </c>
      <c r="N21" s="7" t="s">
        <v>122</v>
      </c>
      <c r="O21" s="7" t="s">
        <v>121</v>
      </c>
      <c r="P21" s="7" t="s">
        <v>123</v>
      </c>
      <c r="Q21" s="7" t="s">
        <v>124</v>
      </c>
      <c r="R21" s="7" t="s">
        <v>23</v>
      </c>
      <c r="S21" s="7" t="n">
        <v>12</v>
      </c>
      <c r="T21" s="11" t="n">
        <v>8.83</v>
      </c>
      <c r="U21" s="12" t="n">
        <v>0.1811</v>
      </c>
    </row>
    <row r="22" customFormat="false" ht="15" hidden="false" customHeight="true" outlineLevel="0" collapsed="false">
      <c r="A22" s="7" t="s">
        <v>208</v>
      </c>
      <c r="B22" s="7" t="s">
        <v>209</v>
      </c>
      <c r="C22" s="7" t="s">
        <v>136</v>
      </c>
      <c r="D22" s="7" t="s">
        <v>35</v>
      </c>
      <c r="E22" s="7" t="s">
        <v>210</v>
      </c>
      <c r="F22" s="7" t="s">
        <v>211</v>
      </c>
      <c r="G22" s="7" t="s">
        <v>190</v>
      </c>
      <c r="H22" s="7" t="s">
        <v>117</v>
      </c>
      <c r="I22" s="7" t="s">
        <v>19</v>
      </c>
      <c r="J22" s="7" t="s">
        <v>206</v>
      </c>
      <c r="K22" s="7" t="s">
        <v>212</v>
      </c>
      <c r="L22" s="7" t="s">
        <v>120</v>
      </c>
      <c r="M22" s="7" t="s">
        <v>121</v>
      </c>
      <c r="N22" s="7" t="s">
        <v>213</v>
      </c>
      <c r="O22" s="7" t="s">
        <v>124</v>
      </c>
      <c r="P22" s="7" t="s">
        <v>141</v>
      </c>
      <c r="Q22" s="7" t="s">
        <v>124</v>
      </c>
      <c r="R22" s="7" t="s">
        <v>23</v>
      </c>
      <c r="S22" s="7" t="n">
        <v>0</v>
      </c>
      <c r="T22" s="11" t="n">
        <v>0</v>
      </c>
      <c r="U22" s="12" t="n">
        <v>1</v>
      </c>
    </row>
    <row r="23" customFormat="false" ht="15" hidden="false" customHeight="true" outlineLevel="0" collapsed="false">
      <c r="A23" s="7" t="s">
        <v>214</v>
      </c>
      <c r="B23" s="7" t="s">
        <v>215</v>
      </c>
      <c r="C23" s="7" t="s">
        <v>136</v>
      </c>
      <c r="D23" s="7" t="s">
        <v>35</v>
      </c>
      <c r="E23" s="7" t="s">
        <v>216</v>
      </c>
      <c r="F23" s="7" t="s">
        <v>217</v>
      </c>
      <c r="G23" s="7" t="s">
        <v>116</v>
      </c>
      <c r="H23" s="7" t="s">
        <v>117</v>
      </c>
      <c r="I23" s="7" t="s">
        <v>24</v>
      </c>
      <c r="J23" s="7"/>
      <c r="K23" s="7" t="s">
        <v>196</v>
      </c>
      <c r="L23" s="7"/>
      <c r="M23" s="7" t="s">
        <v>121</v>
      </c>
      <c r="N23" s="7"/>
      <c r="O23" s="7"/>
      <c r="P23" s="7" t="s">
        <v>197</v>
      </c>
      <c r="Q23" s="7" t="s">
        <v>124</v>
      </c>
      <c r="R23" s="7" t="s">
        <v>23</v>
      </c>
      <c r="S23" s="7" t="n">
        <v>3</v>
      </c>
      <c r="T23" s="11" t="n">
        <v>1</v>
      </c>
      <c r="U23" s="12" t="n">
        <v>0.0803</v>
      </c>
    </row>
    <row r="24" customFormat="false" ht="15" hidden="false" customHeight="true" outlineLevel="0" collapsed="false">
      <c r="A24" s="7" t="s">
        <v>218</v>
      </c>
      <c r="B24" s="7" t="s">
        <v>219</v>
      </c>
      <c r="C24" s="7" t="s">
        <v>136</v>
      </c>
      <c r="D24" s="7" t="s">
        <v>35</v>
      </c>
      <c r="E24" s="7" t="s">
        <v>220</v>
      </c>
      <c r="F24" s="7" t="s">
        <v>221</v>
      </c>
      <c r="G24" s="7" t="s">
        <v>116</v>
      </c>
      <c r="H24" s="7" t="s">
        <v>117</v>
      </c>
      <c r="I24" s="7" t="s">
        <v>23</v>
      </c>
      <c r="J24" s="7"/>
      <c r="K24" s="7" t="s">
        <v>133</v>
      </c>
      <c r="L24" s="7" t="s">
        <v>120</v>
      </c>
      <c r="M24" s="7" t="s">
        <v>121</v>
      </c>
      <c r="N24" s="7" t="s">
        <v>130</v>
      </c>
      <c r="O24" s="7" t="s">
        <v>121</v>
      </c>
      <c r="P24" s="7" t="s">
        <v>123</v>
      </c>
      <c r="Q24" s="7" t="s">
        <v>124</v>
      </c>
      <c r="R24" s="7" t="s">
        <v>23</v>
      </c>
      <c r="S24" s="7" t="n">
        <v>0</v>
      </c>
      <c r="T24" s="11" t="n">
        <v>0</v>
      </c>
      <c r="U24" s="12" t="n">
        <v>1</v>
      </c>
    </row>
    <row r="25" customFormat="false" ht="15" hidden="false" customHeight="true" outlineLevel="0" collapsed="false">
      <c r="A25" s="7" t="s">
        <v>222</v>
      </c>
      <c r="B25" s="7" t="s">
        <v>223</v>
      </c>
      <c r="C25" s="7" t="s">
        <v>136</v>
      </c>
      <c r="D25" s="7" t="s">
        <v>33</v>
      </c>
      <c r="E25" s="7" t="s">
        <v>224</v>
      </c>
      <c r="F25" s="7" t="s">
        <v>225</v>
      </c>
      <c r="G25" s="7" t="s">
        <v>190</v>
      </c>
      <c r="H25" s="7" t="s">
        <v>117</v>
      </c>
      <c r="I25" s="7" t="s">
        <v>19</v>
      </c>
      <c r="J25" s="7" t="s">
        <v>146</v>
      </c>
      <c r="K25" s="7" t="s">
        <v>156</v>
      </c>
      <c r="L25" s="7" t="s">
        <v>120</v>
      </c>
      <c r="M25" s="7" t="s">
        <v>121</v>
      </c>
      <c r="N25" s="7" t="s">
        <v>130</v>
      </c>
      <c r="O25" s="7" t="s">
        <v>121</v>
      </c>
      <c r="P25" s="7" t="s">
        <v>123</v>
      </c>
      <c r="Q25" s="7" t="s">
        <v>124</v>
      </c>
      <c r="R25" s="7" t="s">
        <v>23</v>
      </c>
      <c r="S25" s="7" t="n">
        <v>1</v>
      </c>
      <c r="T25" s="11" t="n">
        <v>0.6</v>
      </c>
      <c r="U25" s="12" t="n">
        <v>0.4489</v>
      </c>
    </row>
    <row r="26" customFormat="false" ht="15" hidden="false" customHeight="true" outlineLevel="0" collapsed="false">
      <c r="A26" s="7" t="s">
        <v>226</v>
      </c>
      <c r="B26" s="7" t="s">
        <v>227</v>
      </c>
      <c r="C26" s="7" t="s">
        <v>113</v>
      </c>
      <c r="D26" s="7" t="s">
        <v>33</v>
      </c>
      <c r="E26" s="7" t="s">
        <v>228</v>
      </c>
      <c r="F26" s="7" t="s">
        <v>229</v>
      </c>
      <c r="G26" s="7" t="s">
        <v>190</v>
      </c>
      <c r="H26" s="7" t="s">
        <v>117</v>
      </c>
      <c r="I26" s="7" t="s">
        <v>24</v>
      </c>
      <c r="J26" s="7"/>
      <c r="K26" s="7" t="s">
        <v>196</v>
      </c>
      <c r="L26" s="7"/>
      <c r="M26" s="7" t="s">
        <v>121</v>
      </c>
      <c r="N26" s="7"/>
      <c r="O26" s="7"/>
      <c r="P26" s="7" t="s">
        <v>197</v>
      </c>
      <c r="Q26" s="7" t="s">
        <v>124</v>
      </c>
      <c r="R26" s="7" t="s">
        <v>19</v>
      </c>
      <c r="S26" s="7" t="n">
        <v>3</v>
      </c>
      <c r="T26" s="11" t="n">
        <v>0</v>
      </c>
      <c r="U26" s="12" t="n">
        <v>0</v>
      </c>
    </row>
    <row r="27" customFormat="false" ht="15" hidden="false" customHeight="true" outlineLevel="0" collapsed="false">
      <c r="A27" s="7" t="s">
        <v>230</v>
      </c>
      <c r="B27" s="7" t="s">
        <v>231</v>
      </c>
      <c r="C27" s="7" t="s">
        <v>113</v>
      </c>
      <c r="D27" s="7" t="s">
        <v>33</v>
      </c>
      <c r="E27" s="7" t="s">
        <v>232</v>
      </c>
      <c r="F27" s="7" t="s">
        <v>233</v>
      </c>
      <c r="G27" s="7" t="s">
        <v>116</v>
      </c>
      <c r="H27" s="7" t="s">
        <v>117</v>
      </c>
      <c r="I27" s="7" t="s">
        <v>19</v>
      </c>
      <c r="J27" s="7" t="s">
        <v>118</v>
      </c>
      <c r="K27" s="7" t="s">
        <v>234</v>
      </c>
      <c r="L27" s="7" t="s">
        <v>120</v>
      </c>
      <c r="M27" s="7" t="s">
        <v>121</v>
      </c>
      <c r="N27" s="7" t="s">
        <v>122</v>
      </c>
      <c r="O27" s="7" t="s">
        <v>121</v>
      </c>
      <c r="P27" s="7" t="s">
        <v>123</v>
      </c>
      <c r="Q27" s="7" t="s">
        <v>124</v>
      </c>
      <c r="R27" s="7" t="s">
        <v>19</v>
      </c>
      <c r="S27" s="7" t="n">
        <v>6</v>
      </c>
      <c r="T27" s="11" t="n">
        <v>0.25</v>
      </c>
      <c r="U27" s="12" t="n">
        <v>0</v>
      </c>
    </row>
    <row r="28" customFormat="false" ht="15" hidden="false" customHeight="true" outlineLevel="0" collapsed="false">
      <c r="A28" s="7" t="s">
        <v>235</v>
      </c>
      <c r="B28" s="7" t="s">
        <v>236</v>
      </c>
      <c r="C28" s="7" t="s">
        <v>136</v>
      </c>
      <c r="D28" s="7" t="s">
        <v>33</v>
      </c>
      <c r="E28" s="7" t="s">
        <v>237</v>
      </c>
      <c r="F28" s="7" t="s">
        <v>238</v>
      </c>
      <c r="G28" s="7" t="s">
        <v>190</v>
      </c>
      <c r="H28" s="7" t="s">
        <v>117</v>
      </c>
      <c r="I28" s="7" t="s">
        <v>19</v>
      </c>
      <c r="J28" s="7" t="s">
        <v>118</v>
      </c>
      <c r="K28" s="7" t="s">
        <v>239</v>
      </c>
      <c r="L28" s="7" t="s">
        <v>120</v>
      </c>
      <c r="M28" s="7" t="s">
        <v>121</v>
      </c>
      <c r="N28" s="7" t="s">
        <v>122</v>
      </c>
      <c r="O28" s="7" t="s">
        <v>121</v>
      </c>
      <c r="P28" s="7" t="s">
        <v>141</v>
      </c>
      <c r="Q28" s="7" t="s">
        <v>124</v>
      </c>
      <c r="R28" s="7" t="s">
        <v>23</v>
      </c>
      <c r="S28" s="7" t="n">
        <v>0</v>
      </c>
      <c r="T28" s="11" t="n">
        <v>0.05</v>
      </c>
      <c r="U28" s="12" t="n">
        <v>1</v>
      </c>
    </row>
    <row r="29" customFormat="false" ht="15" hidden="false" customHeight="true" outlineLevel="0" collapsed="false">
      <c r="A29" s="7" t="s">
        <v>240</v>
      </c>
      <c r="B29" s="7" t="s">
        <v>241</v>
      </c>
      <c r="C29" s="7" t="s">
        <v>136</v>
      </c>
      <c r="D29" s="7" t="s">
        <v>33</v>
      </c>
      <c r="E29" s="7" t="s">
        <v>242</v>
      </c>
      <c r="F29" s="7" t="s">
        <v>243</v>
      </c>
      <c r="G29" s="7" t="s">
        <v>116</v>
      </c>
      <c r="H29" s="7" t="s">
        <v>117</v>
      </c>
      <c r="I29" s="7" t="s">
        <v>22</v>
      </c>
      <c r="J29" s="7"/>
      <c r="K29" s="7" t="s">
        <v>182</v>
      </c>
      <c r="L29" s="7" t="s">
        <v>120</v>
      </c>
      <c r="M29" s="7" t="s">
        <v>121</v>
      </c>
      <c r="N29" s="7" t="s">
        <v>130</v>
      </c>
      <c r="O29" s="7" t="s">
        <v>121</v>
      </c>
      <c r="P29" s="7" t="s">
        <v>123</v>
      </c>
      <c r="Q29" s="7" t="s">
        <v>124</v>
      </c>
      <c r="R29" s="7" t="s">
        <v>23</v>
      </c>
      <c r="S29" s="7" t="n">
        <v>0</v>
      </c>
      <c r="T29" s="11" t="n">
        <v>0</v>
      </c>
      <c r="U29" s="12" t="n">
        <v>1</v>
      </c>
    </row>
    <row r="30" customFormat="false" ht="15" hidden="false" customHeight="true" outlineLevel="0" collapsed="false">
      <c r="A30" s="7" t="s">
        <v>244</v>
      </c>
      <c r="B30" s="7" t="s">
        <v>245</v>
      </c>
      <c r="C30" s="7" t="s">
        <v>113</v>
      </c>
      <c r="D30" s="7" t="s">
        <v>33</v>
      </c>
      <c r="E30" s="7" t="s">
        <v>246</v>
      </c>
      <c r="F30" s="7" t="s">
        <v>247</v>
      </c>
      <c r="G30" s="7" t="s">
        <v>190</v>
      </c>
      <c r="H30" s="7" t="s">
        <v>117</v>
      </c>
      <c r="I30" s="7" t="s">
        <v>19</v>
      </c>
      <c r="J30" s="7" t="s">
        <v>118</v>
      </c>
      <c r="K30" s="7" t="s">
        <v>248</v>
      </c>
      <c r="L30" s="7" t="s">
        <v>120</v>
      </c>
      <c r="M30" s="7" t="s">
        <v>121</v>
      </c>
      <c r="N30" s="7" t="s">
        <v>122</v>
      </c>
      <c r="O30" s="7" t="s">
        <v>121</v>
      </c>
      <c r="P30" s="7" t="s">
        <v>123</v>
      </c>
      <c r="Q30" s="7" t="s">
        <v>124</v>
      </c>
      <c r="R30" s="7" t="s">
        <v>19</v>
      </c>
      <c r="S30" s="7" t="n">
        <v>12</v>
      </c>
      <c r="T30" s="11" t="n">
        <v>0.43</v>
      </c>
      <c r="U30" s="12" t="n">
        <v>0</v>
      </c>
    </row>
    <row r="31" customFormat="false" ht="15" hidden="false" customHeight="true" outlineLevel="0" collapsed="false">
      <c r="A31" s="7" t="s">
        <v>249</v>
      </c>
      <c r="B31" s="7" t="s">
        <v>250</v>
      </c>
      <c r="C31" s="7" t="s">
        <v>136</v>
      </c>
      <c r="D31" s="7" t="s">
        <v>33</v>
      </c>
      <c r="E31" s="7" t="s">
        <v>251</v>
      </c>
      <c r="F31" s="7" t="s">
        <v>252</v>
      </c>
      <c r="G31" s="7" t="s">
        <v>190</v>
      </c>
      <c r="H31" s="7" t="s">
        <v>117</v>
      </c>
      <c r="I31" s="7" t="s">
        <v>24</v>
      </c>
      <c r="J31" s="7"/>
      <c r="K31" s="7" t="s">
        <v>196</v>
      </c>
      <c r="L31" s="7"/>
      <c r="M31" s="7" t="s">
        <v>121</v>
      </c>
      <c r="N31" s="7"/>
      <c r="O31" s="7"/>
      <c r="P31" s="7" t="s">
        <v>197</v>
      </c>
      <c r="Q31" s="7" t="s">
        <v>124</v>
      </c>
      <c r="R31" s="7" t="s">
        <v>23</v>
      </c>
      <c r="S31" s="7" t="n">
        <v>0</v>
      </c>
      <c r="T31" s="11" t="n">
        <v>0</v>
      </c>
      <c r="U31" s="12" t="n">
        <v>1</v>
      </c>
    </row>
    <row r="32" customFormat="false" ht="15" hidden="false" customHeight="true" outlineLevel="0" collapsed="false">
      <c r="A32" s="7" t="s">
        <v>253</v>
      </c>
      <c r="B32" s="7" t="s">
        <v>254</v>
      </c>
      <c r="C32" s="7" t="s">
        <v>136</v>
      </c>
      <c r="D32" s="7" t="s">
        <v>33</v>
      </c>
      <c r="E32" s="7" t="s">
        <v>255</v>
      </c>
      <c r="F32" s="7" t="s">
        <v>256</v>
      </c>
      <c r="G32" s="7" t="s">
        <v>116</v>
      </c>
      <c r="H32" s="7" t="s">
        <v>117</v>
      </c>
      <c r="I32" s="7" t="s">
        <v>24</v>
      </c>
      <c r="J32" s="7"/>
      <c r="K32" s="7" t="s">
        <v>196</v>
      </c>
      <c r="L32" s="7"/>
      <c r="M32" s="7" t="s">
        <v>121</v>
      </c>
      <c r="N32" s="7"/>
      <c r="O32" s="7"/>
      <c r="P32" s="7" t="s">
        <v>197</v>
      </c>
      <c r="Q32" s="7" t="s">
        <v>124</v>
      </c>
      <c r="R32" s="7" t="s">
        <v>23</v>
      </c>
      <c r="S32" s="7" t="n">
        <v>0</v>
      </c>
      <c r="T32" s="11" t="n">
        <v>0</v>
      </c>
      <c r="U32" s="12" t="n">
        <v>1</v>
      </c>
    </row>
    <row r="33" customFormat="false" ht="15" hidden="false" customHeight="true" outlineLevel="0" collapsed="false">
      <c r="A33" s="7" t="s">
        <v>257</v>
      </c>
      <c r="B33" s="7" t="s">
        <v>258</v>
      </c>
      <c r="C33" s="7" t="s">
        <v>136</v>
      </c>
      <c r="D33" s="7" t="s">
        <v>33</v>
      </c>
      <c r="E33" s="7" t="s">
        <v>259</v>
      </c>
      <c r="F33" s="7" t="s">
        <v>260</v>
      </c>
      <c r="G33" s="7" t="s">
        <v>116</v>
      </c>
      <c r="H33" s="7" t="s">
        <v>117</v>
      </c>
      <c r="I33" s="7" t="s">
        <v>23</v>
      </c>
      <c r="J33" s="7"/>
      <c r="K33" s="7" t="s">
        <v>133</v>
      </c>
      <c r="L33" s="7" t="s">
        <v>120</v>
      </c>
      <c r="M33" s="7" t="s">
        <v>121</v>
      </c>
      <c r="N33" s="7" t="s">
        <v>130</v>
      </c>
      <c r="O33" s="7" t="s">
        <v>121</v>
      </c>
      <c r="P33" s="7" t="s">
        <v>141</v>
      </c>
      <c r="Q33" s="7" t="s">
        <v>124</v>
      </c>
      <c r="R33" s="7" t="s">
        <v>23</v>
      </c>
      <c r="S33" s="7" t="n">
        <v>0</v>
      </c>
      <c r="T33" s="11" t="n">
        <v>0</v>
      </c>
      <c r="U33" s="12" t="n">
        <v>1</v>
      </c>
    </row>
    <row r="34" customFormat="false" ht="15" hidden="false" customHeight="true" outlineLevel="0" collapsed="false">
      <c r="A34" s="7" t="s">
        <v>261</v>
      </c>
      <c r="B34" s="7" t="s">
        <v>262</v>
      </c>
      <c r="C34" s="7" t="s">
        <v>136</v>
      </c>
      <c r="D34" s="7" t="s">
        <v>33</v>
      </c>
      <c r="E34" s="7" t="s">
        <v>263</v>
      </c>
      <c r="F34" s="7" t="s">
        <v>264</v>
      </c>
      <c r="G34" s="7" t="s">
        <v>190</v>
      </c>
      <c r="H34" s="7" t="s">
        <v>117</v>
      </c>
      <c r="I34" s="7" t="s">
        <v>24</v>
      </c>
      <c r="J34" s="7"/>
      <c r="K34" s="7" t="s">
        <v>196</v>
      </c>
      <c r="L34" s="7"/>
      <c r="M34" s="7" t="s">
        <v>121</v>
      </c>
      <c r="N34" s="7"/>
      <c r="O34" s="7"/>
      <c r="P34" s="7" t="s">
        <v>197</v>
      </c>
      <c r="Q34" s="7" t="s">
        <v>124</v>
      </c>
      <c r="R34" s="7" t="s">
        <v>23</v>
      </c>
      <c r="S34" s="7" t="n">
        <v>0</v>
      </c>
      <c r="T34" s="11" t="n">
        <v>0.16</v>
      </c>
      <c r="U34" s="12" t="n">
        <v>1</v>
      </c>
    </row>
    <row r="35" customFormat="false" ht="15" hidden="false" customHeight="true" outlineLevel="0" collapsed="false">
      <c r="A35" s="7" t="s">
        <v>265</v>
      </c>
      <c r="B35" s="7" t="s">
        <v>266</v>
      </c>
      <c r="C35" s="7" t="s">
        <v>136</v>
      </c>
      <c r="D35" s="7" t="s">
        <v>33</v>
      </c>
      <c r="E35" s="7" t="s">
        <v>267</v>
      </c>
      <c r="F35" s="7" t="s">
        <v>268</v>
      </c>
      <c r="G35" s="7" t="s">
        <v>190</v>
      </c>
      <c r="H35" s="7" t="s">
        <v>117</v>
      </c>
      <c r="I35" s="7" t="s">
        <v>24</v>
      </c>
      <c r="J35" s="7"/>
      <c r="K35" s="7" t="s">
        <v>196</v>
      </c>
      <c r="L35" s="7"/>
      <c r="M35" s="7" t="s">
        <v>121</v>
      </c>
      <c r="N35" s="7"/>
      <c r="O35" s="7"/>
      <c r="P35" s="7" t="s">
        <v>197</v>
      </c>
      <c r="Q35" s="7" t="s">
        <v>124</v>
      </c>
      <c r="R35" s="7" t="s">
        <v>23</v>
      </c>
      <c r="S35" s="7" t="n">
        <v>6</v>
      </c>
      <c r="T35" s="11" t="n">
        <v>4.6</v>
      </c>
      <c r="U35" s="12" t="n">
        <v>0.315</v>
      </c>
    </row>
    <row r="36" customFormat="false" ht="15" hidden="false" customHeight="true" outlineLevel="0" collapsed="false">
      <c r="A36" s="7" t="s">
        <v>269</v>
      </c>
      <c r="B36" s="7" t="s">
        <v>270</v>
      </c>
      <c r="C36" s="7" t="s">
        <v>136</v>
      </c>
      <c r="D36" s="7" t="s">
        <v>33</v>
      </c>
      <c r="E36" s="7" t="s">
        <v>271</v>
      </c>
      <c r="F36" s="7" t="s">
        <v>272</v>
      </c>
      <c r="G36" s="7" t="s">
        <v>190</v>
      </c>
      <c r="H36" s="7" t="s">
        <v>117</v>
      </c>
      <c r="I36" s="7" t="s">
        <v>24</v>
      </c>
      <c r="J36" s="7"/>
      <c r="K36" s="7" t="s">
        <v>196</v>
      </c>
      <c r="L36" s="7"/>
      <c r="M36" s="7" t="s">
        <v>121</v>
      </c>
      <c r="N36" s="7"/>
      <c r="O36" s="7"/>
      <c r="P36" s="7" t="s">
        <v>197</v>
      </c>
      <c r="Q36" s="7" t="s">
        <v>124</v>
      </c>
      <c r="R36" s="7" t="s">
        <v>23</v>
      </c>
      <c r="S36" s="7" t="n">
        <v>2</v>
      </c>
      <c r="T36" s="11" t="n">
        <v>2.33</v>
      </c>
      <c r="U36" s="12" t="n">
        <v>0.6758</v>
      </c>
    </row>
    <row r="37" customFormat="false" ht="15" hidden="false" customHeight="true" outlineLevel="0" collapsed="false">
      <c r="A37" s="7" t="s">
        <v>273</v>
      </c>
      <c r="B37" s="7" t="s">
        <v>274</v>
      </c>
      <c r="C37" s="7" t="s">
        <v>136</v>
      </c>
      <c r="D37" s="7" t="s">
        <v>33</v>
      </c>
      <c r="E37" s="7" t="s">
        <v>275</v>
      </c>
      <c r="F37" s="7" t="s">
        <v>276</v>
      </c>
      <c r="G37" s="7" t="s">
        <v>116</v>
      </c>
      <c r="H37" s="7" t="s">
        <v>117</v>
      </c>
      <c r="I37" s="7" t="s">
        <v>24</v>
      </c>
      <c r="J37" s="7"/>
      <c r="K37" s="7" t="s">
        <v>196</v>
      </c>
      <c r="L37" s="7"/>
      <c r="M37" s="7" t="s">
        <v>121</v>
      </c>
      <c r="N37" s="7"/>
      <c r="O37" s="7"/>
      <c r="P37" s="7" t="s">
        <v>197</v>
      </c>
      <c r="Q37" s="7" t="s">
        <v>124</v>
      </c>
      <c r="R37" s="7" t="s">
        <v>23</v>
      </c>
      <c r="S37" s="7" t="n">
        <v>0</v>
      </c>
      <c r="T37" s="11" t="n">
        <v>0</v>
      </c>
      <c r="U37" s="12" t="n">
        <v>1</v>
      </c>
    </row>
    <row r="38" customFormat="false" ht="15" hidden="false" customHeight="true" outlineLevel="0" collapsed="false">
      <c r="A38" s="7" t="s">
        <v>277</v>
      </c>
      <c r="B38" s="7" t="s">
        <v>278</v>
      </c>
      <c r="C38" s="7" t="s">
        <v>136</v>
      </c>
      <c r="D38" s="7" t="s">
        <v>33</v>
      </c>
      <c r="E38" s="7" t="s">
        <v>279</v>
      </c>
      <c r="F38" s="7" t="s">
        <v>280</v>
      </c>
      <c r="G38" s="7" t="s">
        <v>190</v>
      </c>
      <c r="H38" s="7" t="s">
        <v>117</v>
      </c>
      <c r="I38" s="7" t="s">
        <v>22</v>
      </c>
      <c r="J38" s="7"/>
      <c r="K38" s="7" t="s">
        <v>281</v>
      </c>
      <c r="L38" s="7" t="s">
        <v>120</v>
      </c>
      <c r="M38" s="7" t="s">
        <v>121</v>
      </c>
      <c r="N38" s="7" t="s">
        <v>130</v>
      </c>
      <c r="O38" s="7" t="s">
        <v>121</v>
      </c>
      <c r="P38" s="7" t="s">
        <v>123</v>
      </c>
      <c r="Q38" s="7" t="s">
        <v>124</v>
      </c>
      <c r="R38" s="7" t="s">
        <v>23</v>
      </c>
      <c r="S38" s="7" t="n">
        <v>0</v>
      </c>
      <c r="T38" s="11" t="n">
        <v>0</v>
      </c>
      <c r="U38" s="12" t="n">
        <v>1</v>
      </c>
    </row>
    <row r="39" customFormat="false" ht="15" hidden="false" customHeight="true" outlineLevel="0" collapsed="false">
      <c r="A39" s="7" t="s">
        <v>282</v>
      </c>
      <c r="B39" s="7" t="s">
        <v>283</v>
      </c>
      <c r="C39" s="7" t="s">
        <v>136</v>
      </c>
      <c r="D39" s="7" t="s">
        <v>33</v>
      </c>
      <c r="E39" s="7" t="s">
        <v>284</v>
      </c>
      <c r="F39" s="7" t="s">
        <v>285</v>
      </c>
      <c r="G39" s="7" t="s">
        <v>190</v>
      </c>
      <c r="H39" s="7" t="s">
        <v>117</v>
      </c>
      <c r="I39" s="7" t="s">
        <v>19</v>
      </c>
      <c r="J39" s="7" t="s">
        <v>206</v>
      </c>
      <c r="K39" s="7" t="s">
        <v>286</v>
      </c>
      <c r="L39" s="7" t="s">
        <v>120</v>
      </c>
      <c r="M39" s="7" t="s">
        <v>121</v>
      </c>
      <c r="N39" s="7" t="s">
        <v>122</v>
      </c>
      <c r="O39" s="7" t="s">
        <v>121</v>
      </c>
      <c r="P39" s="7" t="s">
        <v>153</v>
      </c>
      <c r="Q39" s="7" t="s">
        <v>124</v>
      </c>
      <c r="R39" s="7" t="s">
        <v>23</v>
      </c>
      <c r="S39" s="7" t="n">
        <v>0</v>
      </c>
      <c r="T39" s="11" t="n">
        <v>0</v>
      </c>
      <c r="U39" s="12" t="n">
        <v>1</v>
      </c>
    </row>
    <row r="40" customFormat="false" ht="15" hidden="false" customHeight="true" outlineLevel="0" collapsed="false">
      <c r="A40" s="7" t="s">
        <v>287</v>
      </c>
      <c r="B40" s="7" t="s">
        <v>288</v>
      </c>
      <c r="C40" s="7" t="s">
        <v>136</v>
      </c>
      <c r="D40" s="7" t="s">
        <v>33</v>
      </c>
      <c r="E40" s="7" t="s">
        <v>289</v>
      </c>
      <c r="F40" s="7" t="s">
        <v>290</v>
      </c>
      <c r="G40" s="7" t="s">
        <v>116</v>
      </c>
      <c r="H40" s="7" t="s">
        <v>117</v>
      </c>
      <c r="I40" s="7" t="s">
        <v>24</v>
      </c>
      <c r="J40" s="7"/>
      <c r="K40" s="7" t="s">
        <v>196</v>
      </c>
      <c r="L40" s="7"/>
      <c r="M40" s="7" t="s">
        <v>121</v>
      </c>
      <c r="N40" s="7"/>
      <c r="O40" s="7"/>
      <c r="P40" s="7" t="s">
        <v>197</v>
      </c>
      <c r="Q40" s="7" t="s">
        <v>124</v>
      </c>
      <c r="R40" s="7" t="s">
        <v>23</v>
      </c>
      <c r="S40" s="7" t="n">
        <v>0</v>
      </c>
      <c r="T40" s="11" t="n">
        <v>0</v>
      </c>
      <c r="U40" s="12" t="n">
        <v>1</v>
      </c>
    </row>
    <row r="41" customFormat="false" ht="15" hidden="false" customHeight="true" outlineLevel="0" collapsed="false">
      <c r="A41" s="7" t="s">
        <v>291</v>
      </c>
      <c r="B41" s="7" t="s">
        <v>292</v>
      </c>
      <c r="C41" s="7" t="s">
        <v>136</v>
      </c>
      <c r="D41" s="7" t="s">
        <v>33</v>
      </c>
      <c r="E41" s="7" t="s">
        <v>293</v>
      </c>
      <c r="F41" s="7" t="s">
        <v>294</v>
      </c>
      <c r="G41" s="7" t="s">
        <v>190</v>
      </c>
      <c r="H41" s="7" t="s">
        <v>117</v>
      </c>
      <c r="I41" s="7" t="s">
        <v>24</v>
      </c>
      <c r="J41" s="7"/>
      <c r="K41" s="7" t="s">
        <v>196</v>
      </c>
      <c r="L41" s="7"/>
      <c r="M41" s="7" t="s">
        <v>121</v>
      </c>
      <c r="N41" s="7"/>
      <c r="O41" s="7"/>
      <c r="P41" s="7" t="s">
        <v>197</v>
      </c>
      <c r="Q41" s="7" t="s">
        <v>124</v>
      </c>
      <c r="R41" s="7" t="s">
        <v>23</v>
      </c>
      <c r="S41" s="7" t="n">
        <v>1</v>
      </c>
      <c r="T41" s="11" t="n">
        <v>0.27</v>
      </c>
      <c r="U41" s="12" t="n">
        <v>0.2373</v>
      </c>
    </row>
    <row r="42" customFormat="false" ht="15" hidden="false" customHeight="true" outlineLevel="0" collapsed="false">
      <c r="A42" s="7" t="s">
        <v>295</v>
      </c>
      <c r="B42" s="7" t="s">
        <v>296</v>
      </c>
      <c r="C42" s="7" t="s">
        <v>113</v>
      </c>
      <c r="D42" s="7" t="s">
        <v>34</v>
      </c>
      <c r="E42" s="7" t="s">
        <v>297</v>
      </c>
      <c r="F42" s="7" t="s">
        <v>298</v>
      </c>
      <c r="G42" s="7" t="s">
        <v>190</v>
      </c>
      <c r="H42" s="7" t="s">
        <v>117</v>
      </c>
      <c r="I42" s="7" t="s">
        <v>19</v>
      </c>
      <c r="J42" s="7" t="s">
        <v>118</v>
      </c>
      <c r="K42" s="7" t="s">
        <v>299</v>
      </c>
      <c r="L42" s="7" t="s">
        <v>120</v>
      </c>
      <c r="M42" s="7" t="s">
        <v>121</v>
      </c>
      <c r="N42" s="7" t="s">
        <v>122</v>
      </c>
      <c r="O42" s="7" t="s">
        <v>121</v>
      </c>
      <c r="P42" s="7" t="s">
        <v>123</v>
      </c>
      <c r="Q42" s="7" t="s">
        <v>124</v>
      </c>
      <c r="R42" s="7" t="s">
        <v>23</v>
      </c>
      <c r="S42" s="7" t="n">
        <v>0</v>
      </c>
      <c r="T42" s="11" t="n">
        <v>0</v>
      </c>
      <c r="U42" s="12" t="n">
        <v>1</v>
      </c>
    </row>
    <row r="43" customFormat="false" ht="15" hidden="false" customHeight="true" outlineLevel="0" collapsed="false">
      <c r="A43" s="7" t="s">
        <v>300</v>
      </c>
      <c r="B43" s="7" t="s">
        <v>301</v>
      </c>
      <c r="C43" s="7" t="s">
        <v>136</v>
      </c>
      <c r="D43" s="7" t="s">
        <v>34</v>
      </c>
      <c r="E43" s="7" t="s">
        <v>302</v>
      </c>
      <c r="F43" s="7" t="s">
        <v>303</v>
      </c>
      <c r="G43" s="7" t="s">
        <v>190</v>
      </c>
      <c r="H43" s="7" t="s">
        <v>117</v>
      </c>
      <c r="I43" s="7" t="s">
        <v>19</v>
      </c>
      <c r="J43" s="7" t="s">
        <v>146</v>
      </c>
      <c r="K43" s="7" t="s">
        <v>304</v>
      </c>
      <c r="L43" s="7" t="s">
        <v>120</v>
      </c>
      <c r="M43" s="7" t="s">
        <v>121</v>
      </c>
      <c r="N43" s="7" t="s">
        <v>130</v>
      </c>
      <c r="O43" s="7" t="s">
        <v>121</v>
      </c>
      <c r="P43" s="7" t="s">
        <v>123</v>
      </c>
      <c r="Q43" s="7" t="s">
        <v>124</v>
      </c>
      <c r="R43" s="7" t="s">
        <v>23</v>
      </c>
      <c r="S43" s="7" t="n">
        <v>0</v>
      </c>
      <c r="T43" s="11" t="n">
        <v>0</v>
      </c>
      <c r="U43" s="12" t="n">
        <v>1</v>
      </c>
    </row>
    <row r="44" customFormat="false" ht="15" hidden="false" customHeight="true" outlineLevel="0" collapsed="false">
      <c r="A44" s="7" t="s">
        <v>305</v>
      </c>
      <c r="B44" s="7" t="s">
        <v>306</v>
      </c>
      <c r="C44" s="7" t="s">
        <v>113</v>
      </c>
      <c r="D44" s="7" t="s">
        <v>34</v>
      </c>
      <c r="E44" s="7" t="s">
        <v>307</v>
      </c>
      <c r="F44" s="7" t="s">
        <v>308</v>
      </c>
      <c r="G44" s="7" t="s">
        <v>116</v>
      </c>
      <c r="H44" s="7" t="s">
        <v>117</v>
      </c>
      <c r="I44" s="7" t="s">
        <v>21</v>
      </c>
      <c r="J44" s="7" t="s">
        <v>309</v>
      </c>
      <c r="K44" s="7" t="s">
        <v>310</v>
      </c>
      <c r="L44" s="7" t="s">
        <v>311</v>
      </c>
      <c r="M44" s="7" t="s">
        <v>121</v>
      </c>
      <c r="N44" s="7"/>
      <c r="O44" s="7"/>
      <c r="P44" s="7" t="s">
        <v>312</v>
      </c>
      <c r="Q44" s="7" t="s">
        <v>124</v>
      </c>
      <c r="R44" s="7" t="s">
        <v>23</v>
      </c>
      <c r="S44" s="7" t="n">
        <v>0</v>
      </c>
      <c r="T44" s="11" t="n">
        <v>1.08</v>
      </c>
      <c r="U44" s="12" t="n">
        <v>1</v>
      </c>
    </row>
    <row r="45" customFormat="false" ht="15" hidden="false" customHeight="true" outlineLevel="0" collapsed="false">
      <c r="A45" s="7" t="s">
        <v>313</v>
      </c>
      <c r="B45" s="7" t="s">
        <v>314</v>
      </c>
      <c r="C45" s="7" t="s">
        <v>136</v>
      </c>
      <c r="D45" s="7" t="s">
        <v>34</v>
      </c>
      <c r="E45" s="7" t="s">
        <v>315</v>
      </c>
      <c r="F45" s="7" t="s">
        <v>316</v>
      </c>
      <c r="G45" s="7" t="s">
        <v>116</v>
      </c>
      <c r="H45" s="7" t="s">
        <v>117</v>
      </c>
      <c r="I45" s="7" t="s">
        <v>23</v>
      </c>
      <c r="J45" s="7"/>
      <c r="K45" s="7" t="s">
        <v>133</v>
      </c>
      <c r="L45" s="7" t="s">
        <v>120</v>
      </c>
      <c r="M45" s="7" t="s">
        <v>121</v>
      </c>
      <c r="N45" s="7"/>
      <c r="O45" s="7"/>
      <c r="P45" s="7" t="s">
        <v>317</v>
      </c>
      <c r="Q45" s="7" t="s">
        <v>124</v>
      </c>
      <c r="R45" s="7" t="s">
        <v>23</v>
      </c>
      <c r="S45" s="7" t="n">
        <v>0</v>
      </c>
      <c r="T45" s="11" t="n">
        <v>0.17</v>
      </c>
      <c r="U45" s="12" t="n">
        <v>1</v>
      </c>
    </row>
    <row r="46" customFormat="false" ht="15" hidden="false" customHeight="true" outlineLevel="0" collapsed="false">
      <c r="A46" s="7" t="s">
        <v>318</v>
      </c>
      <c r="B46" s="7" t="s">
        <v>319</v>
      </c>
      <c r="C46" s="7" t="s">
        <v>136</v>
      </c>
      <c r="D46" s="7" t="s">
        <v>34</v>
      </c>
      <c r="E46" s="7" t="s">
        <v>320</v>
      </c>
      <c r="F46" s="7" t="s">
        <v>321</v>
      </c>
      <c r="G46" s="7" t="s">
        <v>116</v>
      </c>
      <c r="H46" s="7" t="s">
        <v>117</v>
      </c>
      <c r="I46" s="7" t="s">
        <v>19</v>
      </c>
      <c r="J46" s="7" t="s">
        <v>118</v>
      </c>
      <c r="K46" s="7" t="s">
        <v>322</v>
      </c>
      <c r="L46" s="7" t="s">
        <v>120</v>
      </c>
      <c r="M46" s="7" t="s">
        <v>121</v>
      </c>
      <c r="N46" s="7" t="s">
        <v>122</v>
      </c>
      <c r="O46" s="7" t="s">
        <v>121</v>
      </c>
      <c r="P46" s="7" t="s">
        <v>123</v>
      </c>
      <c r="Q46" s="7" t="s">
        <v>124</v>
      </c>
      <c r="R46" s="7" t="s">
        <v>19</v>
      </c>
      <c r="S46" s="7" t="n">
        <v>3</v>
      </c>
      <c r="T46" s="11" t="n">
        <v>0</v>
      </c>
      <c r="U46" s="12" t="n">
        <v>0</v>
      </c>
    </row>
    <row r="47" customFormat="false" ht="15" hidden="false" customHeight="true" outlineLevel="0" collapsed="false">
      <c r="A47" s="7" t="s">
        <v>323</v>
      </c>
      <c r="B47" s="7" t="s">
        <v>324</v>
      </c>
      <c r="C47" s="7" t="s">
        <v>136</v>
      </c>
      <c r="D47" s="7" t="s">
        <v>34</v>
      </c>
      <c r="E47" s="7" t="s">
        <v>325</v>
      </c>
      <c r="F47" s="7" t="s">
        <v>326</v>
      </c>
      <c r="G47" s="7" t="s">
        <v>116</v>
      </c>
      <c r="H47" s="7" t="s">
        <v>117</v>
      </c>
      <c r="I47" s="7" t="s">
        <v>23</v>
      </c>
      <c r="J47" s="7"/>
      <c r="K47" s="7" t="s">
        <v>327</v>
      </c>
      <c r="L47" s="7" t="s">
        <v>311</v>
      </c>
      <c r="M47" s="7" t="s">
        <v>121</v>
      </c>
      <c r="N47" s="7"/>
      <c r="O47" s="7"/>
      <c r="P47" s="7" t="s">
        <v>312</v>
      </c>
      <c r="Q47" s="7" t="s">
        <v>124</v>
      </c>
      <c r="R47" s="7" t="s">
        <v>23</v>
      </c>
      <c r="S47" s="7" t="n">
        <v>0</v>
      </c>
      <c r="T47" s="11" t="n">
        <v>0</v>
      </c>
      <c r="U47" s="12" t="n">
        <v>1</v>
      </c>
    </row>
    <row r="48" customFormat="false" ht="15" hidden="false" customHeight="true" outlineLevel="0" collapsed="false">
      <c r="A48" s="7" t="s">
        <v>328</v>
      </c>
      <c r="B48" s="7" t="s">
        <v>329</v>
      </c>
      <c r="C48" s="7" t="s">
        <v>113</v>
      </c>
      <c r="D48" s="7" t="s">
        <v>34</v>
      </c>
      <c r="E48" s="7" t="s">
        <v>330</v>
      </c>
      <c r="F48" s="7" t="s">
        <v>331</v>
      </c>
      <c r="G48" s="7" t="s">
        <v>116</v>
      </c>
      <c r="H48" s="7" t="s">
        <v>117</v>
      </c>
      <c r="I48" s="7" t="s">
        <v>24</v>
      </c>
      <c r="J48" s="7"/>
      <c r="K48" s="7" t="s">
        <v>196</v>
      </c>
      <c r="L48" s="7"/>
      <c r="M48" s="7" t="s">
        <v>121</v>
      </c>
      <c r="N48" s="7"/>
      <c r="O48" s="7"/>
      <c r="P48" s="7" t="s">
        <v>197</v>
      </c>
      <c r="Q48" s="7" t="s">
        <v>124</v>
      </c>
      <c r="R48" s="7" t="s">
        <v>23</v>
      </c>
      <c r="S48" s="7" t="n">
        <v>0</v>
      </c>
      <c r="T48" s="11" t="n">
        <v>0</v>
      </c>
      <c r="U48" s="12" t="n">
        <v>1</v>
      </c>
    </row>
    <row r="49" customFormat="false" ht="15" hidden="false" customHeight="true" outlineLevel="0" collapsed="false">
      <c r="A49" s="7" t="s">
        <v>332</v>
      </c>
      <c r="B49" s="7" t="s">
        <v>333</v>
      </c>
      <c r="C49" s="7" t="s">
        <v>113</v>
      </c>
      <c r="D49" s="7" t="s">
        <v>34</v>
      </c>
      <c r="E49" s="7" t="s">
        <v>334</v>
      </c>
      <c r="F49" s="7" t="s">
        <v>335</v>
      </c>
      <c r="G49" s="7" t="s">
        <v>116</v>
      </c>
      <c r="H49" s="7" t="s">
        <v>117</v>
      </c>
      <c r="I49" s="7" t="s">
        <v>19</v>
      </c>
      <c r="J49" s="7" t="s">
        <v>146</v>
      </c>
      <c r="K49" s="7" t="s">
        <v>336</v>
      </c>
      <c r="L49" s="7" t="s">
        <v>311</v>
      </c>
      <c r="M49" s="7" t="s">
        <v>121</v>
      </c>
      <c r="N49" s="7"/>
      <c r="O49" s="7"/>
      <c r="P49" s="7" t="s">
        <v>312</v>
      </c>
      <c r="Q49" s="7" t="s">
        <v>124</v>
      </c>
      <c r="R49" s="7" t="s">
        <v>23</v>
      </c>
      <c r="S49" s="7" t="n">
        <v>0</v>
      </c>
      <c r="T49" s="11" t="n">
        <v>0</v>
      </c>
      <c r="U49" s="12" t="n">
        <v>1</v>
      </c>
    </row>
    <row r="50" customFormat="false" ht="15" hidden="false" customHeight="true" outlineLevel="0" collapsed="false">
      <c r="A50" s="7" t="s">
        <v>337</v>
      </c>
      <c r="B50" s="7" t="s">
        <v>338</v>
      </c>
      <c r="C50" s="7" t="s">
        <v>136</v>
      </c>
      <c r="D50" s="7" t="s">
        <v>34</v>
      </c>
      <c r="E50" s="7" t="s">
        <v>339</v>
      </c>
      <c r="F50" s="7" t="s">
        <v>340</v>
      </c>
      <c r="G50" s="7" t="s">
        <v>116</v>
      </c>
      <c r="H50" s="7" t="s">
        <v>117</v>
      </c>
      <c r="I50" s="7" t="s">
        <v>23</v>
      </c>
      <c r="J50" s="7"/>
      <c r="K50" s="7" t="s">
        <v>327</v>
      </c>
      <c r="L50" s="7" t="s">
        <v>311</v>
      </c>
      <c r="M50" s="7" t="s">
        <v>121</v>
      </c>
      <c r="N50" s="7"/>
      <c r="O50" s="7"/>
      <c r="P50" s="7" t="s">
        <v>312</v>
      </c>
      <c r="Q50" s="7" t="s">
        <v>124</v>
      </c>
      <c r="R50" s="7" t="s">
        <v>23</v>
      </c>
      <c r="S50" s="7" t="n">
        <v>0</v>
      </c>
      <c r="T50" s="11" t="n">
        <v>0</v>
      </c>
      <c r="U50" s="12" t="n">
        <v>1</v>
      </c>
    </row>
    <row r="51" customFormat="false" ht="15" hidden="false" customHeight="true" outlineLevel="0" collapsed="false">
      <c r="A51" s="7" t="s">
        <v>341</v>
      </c>
      <c r="B51" s="7" t="s">
        <v>342</v>
      </c>
      <c r="C51" s="7" t="s">
        <v>136</v>
      </c>
      <c r="D51" s="7" t="s">
        <v>34</v>
      </c>
      <c r="E51" s="7" t="s">
        <v>343</v>
      </c>
      <c r="F51" s="7" t="s">
        <v>344</v>
      </c>
      <c r="G51" s="7" t="s">
        <v>116</v>
      </c>
      <c r="H51" s="7" t="s">
        <v>117</v>
      </c>
      <c r="I51" s="7" t="s">
        <v>22</v>
      </c>
      <c r="J51" s="7"/>
      <c r="K51" s="7" t="s">
        <v>345</v>
      </c>
      <c r="L51" s="7" t="s">
        <v>120</v>
      </c>
      <c r="M51" s="7" t="s">
        <v>121</v>
      </c>
      <c r="N51" s="7" t="s">
        <v>130</v>
      </c>
      <c r="O51" s="7" t="s">
        <v>121</v>
      </c>
      <c r="P51" s="7" t="s">
        <v>123</v>
      </c>
      <c r="Q51" s="7" t="s">
        <v>124</v>
      </c>
      <c r="R51" s="7" t="s">
        <v>23</v>
      </c>
      <c r="S51" s="7" t="n">
        <v>0</v>
      </c>
      <c r="T51" s="11" t="n">
        <v>0.08</v>
      </c>
      <c r="U51" s="12" t="n">
        <v>1</v>
      </c>
    </row>
    <row r="52" customFormat="false" ht="15" hidden="false" customHeight="true" outlineLevel="0" collapsed="false">
      <c r="A52" s="7" t="s">
        <v>346</v>
      </c>
      <c r="B52" s="7" t="s">
        <v>347</v>
      </c>
      <c r="C52" s="7" t="s">
        <v>136</v>
      </c>
      <c r="D52" s="7" t="s">
        <v>34</v>
      </c>
      <c r="E52" s="7" t="s">
        <v>348</v>
      </c>
      <c r="F52" s="7" t="s">
        <v>349</v>
      </c>
      <c r="G52" s="7" t="s">
        <v>190</v>
      </c>
      <c r="H52" s="7" t="s">
        <v>350</v>
      </c>
      <c r="I52" s="7" t="s">
        <v>24</v>
      </c>
      <c r="J52" s="7"/>
      <c r="K52" s="7" t="s">
        <v>196</v>
      </c>
      <c r="L52" s="7"/>
      <c r="M52" s="7" t="s">
        <v>121</v>
      </c>
      <c r="N52" s="7"/>
      <c r="O52" s="7"/>
      <c r="P52" s="7" t="s">
        <v>197</v>
      </c>
      <c r="Q52" s="7" t="s">
        <v>124</v>
      </c>
      <c r="R52" s="7" t="s">
        <v>23</v>
      </c>
      <c r="S52" s="7" t="n">
        <v>7</v>
      </c>
      <c r="T52" s="11" t="n">
        <v>2.49</v>
      </c>
      <c r="U52" s="12" t="n">
        <v>0.014</v>
      </c>
    </row>
    <row r="53" customFormat="false" ht="15" hidden="false" customHeight="true" outlineLevel="0" collapsed="false">
      <c r="A53" s="7" t="s">
        <v>351</v>
      </c>
      <c r="B53" s="7" t="s">
        <v>352</v>
      </c>
      <c r="C53" s="7" t="s">
        <v>113</v>
      </c>
      <c r="D53" s="7" t="s">
        <v>34</v>
      </c>
      <c r="E53" s="7" t="s">
        <v>353</v>
      </c>
      <c r="F53" s="7" t="s">
        <v>354</v>
      </c>
      <c r="G53" s="7" t="s">
        <v>116</v>
      </c>
      <c r="H53" s="7" t="s">
        <v>117</v>
      </c>
      <c r="I53" s="7" t="s">
        <v>24</v>
      </c>
      <c r="J53" s="7"/>
      <c r="K53" s="7" t="s">
        <v>196</v>
      </c>
      <c r="L53" s="7"/>
      <c r="M53" s="7" t="s">
        <v>121</v>
      </c>
      <c r="N53" s="7"/>
      <c r="O53" s="7"/>
      <c r="P53" s="7" t="s">
        <v>197</v>
      </c>
      <c r="Q53" s="7" t="s">
        <v>124</v>
      </c>
      <c r="R53" s="7" t="s">
        <v>23</v>
      </c>
      <c r="S53" s="7" t="n">
        <v>0</v>
      </c>
      <c r="T53" s="11" t="n">
        <v>0</v>
      </c>
      <c r="U53" s="12" t="n">
        <v>1</v>
      </c>
    </row>
    <row r="54" customFormat="false" ht="15" hidden="false" customHeight="true" outlineLevel="0" collapsed="false">
      <c r="A54" s="7" t="s">
        <v>355</v>
      </c>
      <c r="B54" s="7" t="s">
        <v>356</v>
      </c>
      <c r="C54" s="7" t="s">
        <v>136</v>
      </c>
      <c r="D54" s="7" t="s">
        <v>34</v>
      </c>
      <c r="E54" s="7" t="s">
        <v>357</v>
      </c>
      <c r="F54" s="7" t="s">
        <v>358</v>
      </c>
      <c r="G54" s="7" t="s">
        <v>116</v>
      </c>
      <c r="H54" s="7" t="s">
        <v>117</v>
      </c>
      <c r="I54" s="7" t="s">
        <v>19</v>
      </c>
      <c r="J54" s="7" t="s">
        <v>146</v>
      </c>
      <c r="K54" s="7" t="s">
        <v>359</v>
      </c>
      <c r="L54" s="7" t="s">
        <v>311</v>
      </c>
      <c r="M54" s="7" t="s">
        <v>121</v>
      </c>
      <c r="N54" s="7"/>
      <c r="O54" s="7"/>
      <c r="P54" s="7" t="s">
        <v>312</v>
      </c>
      <c r="Q54" s="7" t="s">
        <v>124</v>
      </c>
      <c r="R54" s="7" t="s">
        <v>23</v>
      </c>
      <c r="S54" s="7" t="n">
        <v>0</v>
      </c>
      <c r="T54" s="11" t="n">
        <v>0</v>
      </c>
      <c r="U54" s="12" t="n">
        <v>1</v>
      </c>
    </row>
    <row r="55" customFormat="false" ht="15" hidden="false" customHeight="true" outlineLevel="0" collapsed="false">
      <c r="A55" s="7" t="s">
        <v>360</v>
      </c>
      <c r="B55" s="7" t="s">
        <v>361</v>
      </c>
      <c r="C55" s="7" t="s">
        <v>113</v>
      </c>
      <c r="D55" s="7" t="s">
        <v>34</v>
      </c>
      <c r="E55" s="7" t="s">
        <v>362</v>
      </c>
      <c r="F55" s="7" t="s">
        <v>363</v>
      </c>
      <c r="G55" s="7" t="s">
        <v>116</v>
      </c>
      <c r="H55" s="7" t="s">
        <v>117</v>
      </c>
      <c r="I55" s="7" t="s">
        <v>23</v>
      </c>
      <c r="J55" s="7"/>
      <c r="K55" s="7" t="s">
        <v>327</v>
      </c>
      <c r="L55" s="7" t="s">
        <v>311</v>
      </c>
      <c r="M55" s="7" t="s">
        <v>121</v>
      </c>
      <c r="N55" s="7"/>
      <c r="O55" s="7"/>
      <c r="P55" s="7" t="s">
        <v>312</v>
      </c>
      <c r="Q55" s="7" t="s">
        <v>124</v>
      </c>
      <c r="R55" s="7" t="s">
        <v>23</v>
      </c>
      <c r="S55" s="7" t="n">
        <v>0</v>
      </c>
      <c r="T55" s="11" t="n">
        <v>0</v>
      </c>
      <c r="U55" s="12" t="n">
        <v>1</v>
      </c>
    </row>
    <row r="56" customFormat="false" ht="15" hidden="false" customHeight="true" outlineLevel="0" collapsed="false">
      <c r="A56" s="7" t="s">
        <v>364</v>
      </c>
      <c r="B56" s="7" t="s">
        <v>365</v>
      </c>
      <c r="C56" s="7" t="s">
        <v>113</v>
      </c>
      <c r="D56" s="7" t="s">
        <v>34</v>
      </c>
      <c r="E56" s="7" t="s">
        <v>366</v>
      </c>
      <c r="F56" s="7" t="s">
        <v>367</v>
      </c>
      <c r="G56" s="7" t="s">
        <v>116</v>
      </c>
      <c r="H56" s="7" t="s">
        <v>117</v>
      </c>
      <c r="I56" s="7" t="s">
        <v>24</v>
      </c>
      <c r="J56" s="7"/>
      <c r="K56" s="7" t="s">
        <v>196</v>
      </c>
      <c r="L56" s="7"/>
      <c r="M56" s="7" t="s">
        <v>121</v>
      </c>
      <c r="N56" s="7"/>
      <c r="O56" s="7"/>
      <c r="P56" s="7" t="s">
        <v>197</v>
      </c>
      <c r="Q56" s="7" t="s">
        <v>124</v>
      </c>
      <c r="R56" s="7" t="s">
        <v>19</v>
      </c>
      <c r="S56" s="7" t="n">
        <v>12</v>
      </c>
      <c r="T56" s="11" t="n">
        <v>0.58</v>
      </c>
      <c r="U56" s="12" t="n">
        <v>0</v>
      </c>
    </row>
    <row r="57" customFormat="false" ht="15" hidden="false" customHeight="true" outlineLevel="0" collapsed="false">
      <c r="A57" s="7" t="s">
        <v>368</v>
      </c>
      <c r="B57" s="7" t="s">
        <v>369</v>
      </c>
      <c r="C57" s="7" t="s">
        <v>113</v>
      </c>
      <c r="D57" s="7" t="s">
        <v>36</v>
      </c>
      <c r="E57" s="7" t="s">
        <v>370</v>
      </c>
      <c r="F57" s="7" t="s">
        <v>371</v>
      </c>
      <c r="G57" s="7" t="s">
        <v>116</v>
      </c>
      <c r="H57" s="7" t="s">
        <v>117</v>
      </c>
      <c r="I57" s="7" t="s">
        <v>23</v>
      </c>
      <c r="J57" s="7"/>
      <c r="K57" s="7" t="s">
        <v>133</v>
      </c>
      <c r="L57" s="7" t="s">
        <v>120</v>
      </c>
      <c r="M57" s="7" t="s">
        <v>121</v>
      </c>
      <c r="N57" s="7" t="s">
        <v>130</v>
      </c>
      <c r="O57" s="7" t="s">
        <v>121</v>
      </c>
      <c r="P57" s="7" t="s">
        <v>123</v>
      </c>
      <c r="Q57" s="7" t="s">
        <v>124</v>
      </c>
      <c r="R57" s="7" t="s">
        <v>23</v>
      </c>
      <c r="S57" s="7" t="n">
        <v>2</v>
      </c>
      <c r="T57" s="11" t="n">
        <v>0.42</v>
      </c>
      <c r="U57" s="12" t="n">
        <v>0.0661</v>
      </c>
    </row>
    <row r="58" customFormat="false" ht="15" hidden="false" customHeight="true" outlineLevel="0" collapsed="false">
      <c r="A58" s="7" t="s">
        <v>372</v>
      </c>
      <c r="B58" s="7" t="s">
        <v>373</v>
      </c>
      <c r="C58" s="7" t="s">
        <v>113</v>
      </c>
      <c r="D58" s="7" t="s">
        <v>36</v>
      </c>
      <c r="E58" s="7" t="s">
        <v>374</v>
      </c>
      <c r="F58" s="7" t="s">
        <v>375</v>
      </c>
      <c r="G58" s="7" t="s">
        <v>116</v>
      </c>
      <c r="H58" s="7" t="s">
        <v>117</v>
      </c>
      <c r="I58" s="7" t="s">
        <v>24</v>
      </c>
      <c r="J58" s="7"/>
      <c r="K58" s="7" t="s">
        <v>196</v>
      </c>
      <c r="L58" s="7"/>
      <c r="M58" s="7" t="s">
        <v>121</v>
      </c>
      <c r="N58" s="7"/>
      <c r="O58" s="7"/>
      <c r="P58" s="7" t="s">
        <v>197</v>
      </c>
      <c r="Q58" s="7" t="s">
        <v>124</v>
      </c>
      <c r="R58" s="7" t="s">
        <v>23</v>
      </c>
      <c r="S58" s="7" t="n">
        <v>0</v>
      </c>
      <c r="T58" s="11" t="n">
        <v>0.67</v>
      </c>
      <c r="U58" s="12" t="n">
        <v>1</v>
      </c>
    </row>
    <row r="59" customFormat="false" ht="15" hidden="false" customHeight="true" outlineLevel="0" collapsed="false">
      <c r="A59" s="7" t="s">
        <v>376</v>
      </c>
      <c r="B59" s="7" t="s">
        <v>377</v>
      </c>
      <c r="C59" s="7" t="s">
        <v>136</v>
      </c>
      <c r="D59" s="7" t="s">
        <v>36</v>
      </c>
      <c r="E59" s="7" t="s">
        <v>378</v>
      </c>
      <c r="F59" s="7" t="s">
        <v>379</v>
      </c>
      <c r="G59" s="7" t="s">
        <v>190</v>
      </c>
      <c r="H59" s="7" t="s">
        <v>117</v>
      </c>
      <c r="I59" s="7" t="s">
        <v>24</v>
      </c>
      <c r="J59" s="7"/>
      <c r="K59" s="7" t="s">
        <v>196</v>
      </c>
      <c r="L59" s="7"/>
      <c r="M59" s="7" t="s">
        <v>121</v>
      </c>
      <c r="N59" s="7"/>
      <c r="O59" s="7"/>
      <c r="P59" s="7" t="s">
        <v>197</v>
      </c>
      <c r="Q59" s="7" t="s">
        <v>124</v>
      </c>
      <c r="R59" s="7" t="s">
        <v>23</v>
      </c>
      <c r="S59" s="7" t="n">
        <v>1</v>
      </c>
      <c r="T59" s="11" t="n">
        <v>0.22</v>
      </c>
      <c r="U59" s="12" t="n">
        <v>0.1948</v>
      </c>
    </row>
    <row r="60" customFormat="false" ht="15" hidden="false" customHeight="true" outlineLevel="0" collapsed="false">
      <c r="A60" s="7" t="s">
        <v>380</v>
      </c>
      <c r="B60" s="7" t="s">
        <v>381</v>
      </c>
      <c r="C60" s="7" t="s">
        <v>113</v>
      </c>
      <c r="D60" s="7" t="s">
        <v>36</v>
      </c>
      <c r="E60" s="7" t="s">
        <v>382</v>
      </c>
      <c r="F60" s="7" t="s">
        <v>383</v>
      </c>
      <c r="G60" s="7" t="s">
        <v>190</v>
      </c>
      <c r="H60" s="7" t="s">
        <v>117</v>
      </c>
      <c r="I60" s="7" t="s">
        <v>23</v>
      </c>
      <c r="J60" s="7"/>
      <c r="K60" s="7" t="s">
        <v>133</v>
      </c>
      <c r="L60" s="7" t="s">
        <v>120</v>
      </c>
      <c r="M60" s="7" t="s">
        <v>121</v>
      </c>
      <c r="N60" s="7" t="s">
        <v>130</v>
      </c>
      <c r="O60" s="7" t="s">
        <v>121</v>
      </c>
      <c r="P60" s="7" t="s">
        <v>123</v>
      </c>
      <c r="Q60" s="7" t="s">
        <v>124</v>
      </c>
      <c r="R60" s="7" t="s">
        <v>23</v>
      </c>
      <c r="S60" s="7" t="n">
        <v>0</v>
      </c>
      <c r="T60" s="11" t="n">
        <v>0.11</v>
      </c>
      <c r="U60" s="12" t="n">
        <v>1</v>
      </c>
    </row>
    <row r="61" customFormat="false" ht="15" hidden="false" customHeight="true" outlineLevel="0" collapsed="false">
      <c r="A61" s="7" t="s">
        <v>384</v>
      </c>
      <c r="B61" s="7" t="s">
        <v>385</v>
      </c>
      <c r="C61" s="7" t="s">
        <v>136</v>
      </c>
      <c r="D61" s="7" t="s">
        <v>36</v>
      </c>
      <c r="E61" s="7" t="s">
        <v>386</v>
      </c>
      <c r="F61" s="7" t="s">
        <v>387</v>
      </c>
      <c r="G61" s="7" t="s">
        <v>190</v>
      </c>
      <c r="H61" s="7" t="s">
        <v>117</v>
      </c>
      <c r="I61" s="7" t="s">
        <v>23</v>
      </c>
      <c r="J61" s="7"/>
      <c r="K61" s="7" t="s">
        <v>133</v>
      </c>
      <c r="L61" s="7" t="s">
        <v>120</v>
      </c>
      <c r="M61" s="7" t="s">
        <v>121</v>
      </c>
      <c r="N61" s="7" t="s">
        <v>130</v>
      </c>
      <c r="O61" s="7" t="s">
        <v>121</v>
      </c>
      <c r="P61" s="7" t="s">
        <v>123</v>
      </c>
      <c r="Q61" s="7" t="s">
        <v>124</v>
      </c>
      <c r="R61" s="7" t="s">
        <v>23</v>
      </c>
      <c r="S61" s="7" t="n">
        <v>0</v>
      </c>
      <c r="T61" s="11" t="n">
        <v>0.11</v>
      </c>
      <c r="U61" s="12" t="n">
        <v>1</v>
      </c>
    </row>
    <row r="62" customFormat="false" ht="15" hidden="false" customHeight="true" outlineLevel="0" collapsed="false">
      <c r="A62" s="7" t="s">
        <v>388</v>
      </c>
      <c r="B62" s="7" t="s">
        <v>389</v>
      </c>
      <c r="C62" s="7" t="s">
        <v>113</v>
      </c>
      <c r="D62" s="7" t="s">
        <v>36</v>
      </c>
      <c r="E62" s="7" t="s">
        <v>390</v>
      </c>
      <c r="F62" s="7" t="s">
        <v>391</v>
      </c>
      <c r="G62" s="7" t="s">
        <v>190</v>
      </c>
      <c r="H62" s="7" t="s">
        <v>117</v>
      </c>
      <c r="I62" s="7" t="s">
        <v>22</v>
      </c>
      <c r="J62" s="7"/>
      <c r="K62" s="7" t="s">
        <v>152</v>
      </c>
      <c r="L62" s="7" t="s">
        <v>120</v>
      </c>
      <c r="M62" s="7" t="s">
        <v>121</v>
      </c>
      <c r="N62" s="7" t="s">
        <v>157</v>
      </c>
      <c r="O62" s="7" t="s">
        <v>121</v>
      </c>
      <c r="P62" s="7" t="s">
        <v>153</v>
      </c>
      <c r="Q62" s="7" t="s">
        <v>124</v>
      </c>
      <c r="R62" s="7" t="s">
        <v>23</v>
      </c>
      <c r="S62" s="7" t="n">
        <v>0</v>
      </c>
      <c r="T62" s="11" t="n">
        <v>0</v>
      </c>
      <c r="U62" s="12" t="n">
        <v>1</v>
      </c>
    </row>
    <row r="63" customFormat="false" ht="15" hidden="false" customHeight="true" outlineLevel="0" collapsed="false">
      <c r="A63" s="7" t="s">
        <v>392</v>
      </c>
      <c r="B63" s="7" t="s">
        <v>393</v>
      </c>
      <c r="C63" s="7" t="s">
        <v>136</v>
      </c>
      <c r="D63" s="7" t="s">
        <v>36</v>
      </c>
      <c r="E63" s="7" t="s">
        <v>394</v>
      </c>
      <c r="F63" s="7" t="s">
        <v>395</v>
      </c>
      <c r="G63" s="7" t="s">
        <v>190</v>
      </c>
      <c r="H63" s="7" t="s">
        <v>117</v>
      </c>
      <c r="I63" s="7" t="s">
        <v>23</v>
      </c>
      <c r="J63" s="7"/>
      <c r="K63" s="7" t="s">
        <v>133</v>
      </c>
      <c r="L63" s="7" t="s">
        <v>120</v>
      </c>
      <c r="M63" s="7" t="s">
        <v>121</v>
      </c>
      <c r="N63" s="7" t="s">
        <v>130</v>
      </c>
      <c r="O63" s="7" t="s">
        <v>121</v>
      </c>
      <c r="P63" s="7" t="s">
        <v>123</v>
      </c>
      <c r="Q63" s="7" t="s">
        <v>124</v>
      </c>
      <c r="R63" s="7" t="s">
        <v>23</v>
      </c>
      <c r="S63" s="7" t="n">
        <v>0</v>
      </c>
      <c r="T63" s="11" t="n">
        <v>0.22</v>
      </c>
      <c r="U63" s="12" t="n">
        <v>1</v>
      </c>
    </row>
    <row r="64" customFormat="false" ht="15" hidden="false" customHeight="true" outlineLevel="0" collapsed="false">
      <c r="A64" s="7" t="s">
        <v>396</v>
      </c>
      <c r="B64" s="7" t="s">
        <v>397</v>
      </c>
      <c r="C64" s="7" t="s">
        <v>136</v>
      </c>
      <c r="D64" s="7" t="s">
        <v>36</v>
      </c>
      <c r="E64" s="7" t="s">
        <v>398</v>
      </c>
      <c r="F64" s="7" t="s">
        <v>399</v>
      </c>
      <c r="G64" s="7" t="s">
        <v>116</v>
      </c>
      <c r="H64" s="7" t="s">
        <v>117</v>
      </c>
      <c r="I64" s="7" t="s">
        <v>24</v>
      </c>
      <c r="J64" s="7"/>
      <c r="K64" s="7" t="s">
        <v>196</v>
      </c>
      <c r="L64" s="7"/>
      <c r="M64" s="7" t="s">
        <v>121</v>
      </c>
      <c r="N64" s="7"/>
      <c r="O64" s="7"/>
      <c r="P64" s="7" t="s">
        <v>197</v>
      </c>
      <c r="Q64" s="7" t="s">
        <v>124</v>
      </c>
      <c r="R64" s="7" t="s">
        <v>23</v>
      </c>
      <c r="S64" s="7" t="n">
        <v>0</v>
      </c>
      <c r="T64" s="11" t="n">
        <v>0</v>
      </c>
      <c r="U64" s="12" t="n">
        <v>1</v>
      </c>
    </row>
    <row r="65" customFormat="false" ht="15" hidden="false" customHeight="true" outlineLevel="0" collapsed="false">
      <c r="A65" s="7" t="s">
        <v>400</v>
      </c>
      <c r="B65" s="7" t="s">
        <v>401</v>
      </c>
      <c r="C65" s="7" t="s">
        <v>113</v>
      </c>
      <c r="D65" s="7" t="s">
        <v>36</v>
      </c>
      <c r="E65" s="7" t="s">
        <v>402</v>
      </c>
      <c r="F65" s="7" t="s">
        <v>403</v>
      </c>
      <c r="G65" s="7" t="s">
        <v>116</v>
      </c>
      <c r="H65" s="7" t="s">
        <v>117</v>
      </c>
      <c r="I65" s="7" t="s">
        <v>24</v>
      </c>
      <c r="J65" s="7"/>
      <c r="K65" s="7" t="s">
        <v>196</v>
      </c>
      <c r="L65" s="7"/>
      <c r="M65" s="7" t="s">
        <v>121</v>
      </c>
      <c r="N65" s="7"/>
      <c r="O65" s="7"/>
      <c r="P65" s="7" t="s">
        <v>197</v>
      </c>
      <c r="Q65" s="7" t="s">
        <v>124</v>
      </c>
      <c r="R65" s="7" t="s">
        <v>23</v>
      </c>
      <c r="S65" s="7" t="n">
        <v>0</v>
      </c>
      <c r="T65" s="11" t="n">
        <v>0</v>
      </c>
      <c r="U65" s="12" t="n">
        <v>1</v>
      </c>
    </row>
    <row r="66" customFormat="false" ht="15" hidden="false" customHeight="true" outlineLevel="0" collapsed="false">
      <c r="A66" s="7" t="s">
        <v>404</v>
      </c>
      <c r="B66" s="7" t="s">
        <v>405</v>
      </c>
      <c r="C66" s="7" t="s">
        <v>113</v>
      </c>
      <c r="D66" s="7" t="s">
        <v>36</v>
      </c>
      <c r="E66" s="7" t="s">
        <v>406</v>
      </c>
      <c r="F66" s="7" t="s">
        <v>407</v>
      </c>
      <c r="G66" s="7" t="s">
        <v>116</v>
      </c>
      <c r="H66" s="7" t="s">
        <v>117</v>
      </c>
      <c r="I66" s="7" t="s">
        <v>24</v>
      </c>
      <c r="J66" s="7"/>
      <c r="K66" s="7" t="s">
        <v>196</v>
      </c>
      <c r="L66" s="7"/>
      <c r="M66" s="7" t="s">
        <v>121</v>
      </c>
      <c r="N66" s="7"/>
      <c r="O66" s="7"/>
      <c r="P66" s="7" t="s">
        <v>197</v>
      </c>
      <c r="Q66" s="7" t="s">
        <v>124</v>
      </c>
      <c r="R66" s="7" t="s">
        <v>23</v>
      </c>
      <c r="S66" s="7" t="n">
        <v>0</v>
      </c>
      <c r="T66" s="11" t="n">
        <v>0</v>
      </c>
      <c r="U66" s="12" t="n">
        <v>1</v>
      </c>
    </row>
    <row r="67" customFormat="false" ht="15" hidden="false" customHeight="true" outlineLevel="0" collapsed="false">
      <c r="A67" s="7" t="s">
        <v>408</v>
      </c>
      <c r="B67" s="7" t="s">
        <v>409</v>
      </c>
      <c r="C67" s="7" t="s">
        <v>136</v>
      </c>
      <c r="D67" s="7" t="s">
        <v>36</v>
      </c>
      <c r="E67" s="7" t="s">
        <v>410</v>
      </c>
      <c r="F67" s="7" t="s">
        <v>411</v>
      </c>
      <c r="G67" s="7" t="s">
        <v>190</v>
      </c>
      <c r="H67" s="7" t="s">
        <v>117</v>
      </c>
      <c r="I67" s="7" t="s">
        <v>22</v>
      </c>
      <c r="J67" s="7"/>
      <c r="K67" s="7" t="s">
        <v>152</v>
      </c>
      <c r="L67" s="7" t="s">
        <v>120</v>
      </c>
      <c r="M67" s="7" t="s">
        <v>121</v>
      </c>
      <c r="N67" s="7" t="s">
        <v>157</v>
      </c>
      <c r="O67" s="7" t="s">
        <v>121</v>
      </c>
      <c r="P67" s="7" t="s">
        <v>153</v>
      </c>
      <c r="Q67" s="7" t="s">
        <v>124</v>
      </c>
      <c r="R67" s="7" t="s">
        <v>23</v>
      </c>
      <c r="S67" s="7" t="n">
        <v>0</v>
      </c>
      <c r="T67" s="11" t="n">
        <v>0</v>
      </c>
      <c r="U67" s="12" t="n">
        <v>1</v>
      </c>
    </row>
    <row r="68" customFormat="false" ht="15" hidden="false" customHeight="true" outlineLevel="0" collapsed="false">
      <c r="A68" s="7" t="s">
        <v>412</v>
      </c>
      <c r="B68" s="7" t="s">
        <v>413</v>
      </c>
      <c r="C68" s="7" t="s">
        <v>113</v>
      </c>
      <c r="D68" s="7" t="s">
        <v>36</v>
      </c>
      <c r="E68" s="7" t="s">
        <v>414</v>
      </c>
      <c r="F68" s="7" t="s">
        <v>415</v>
      </c>
      <c r="G68" s="7" t="s">
        <v>190</v>
      </c>
      <c r="H68" s="7" t="s">
        <v>117</v>
      </c>
      <c r="I68" s="7" t="s">
        <v>24</v>
      </c>
      <c r="J68" s="7"/>
      <c r="K68" s="7" t="s">
        <v>196</v>
      </c>
      <c r="L68" s="7"/>
      <c r="M68" s="7" t="s">
        <v>121</v>
      </c>
      <c r="N68" s="7"/>
      <c r="O68" s="7"/>
      <c r="P68" s="7" t="s">
        <v>197</v>
      </c>
      <c r="Q68" s="7" t="s">
        <v>124</v>
      </c>
      <c r="R68" s="7" t="s">
        <v>23</v>
      </c>
      <c r="S68" s="7" t="n">
        <v>0</v>
      </c>
      <c r="T68" s="11" t="n">
        <v>0</v>
      </c>
      <c r="U68" s="12" t="n">
        <v>1</v>
      </c>
    </row>
    <row r="69" customFormat="false" ht="15" hidden="false" customHeight="true" outlineLevel="0" collapsed="false">
      <c r="A69" s="7" t="s">
        <v>416</v>
      </c>
      <c r="B69" s="7" t="s">
        <v>417</v>
      </c>
      <c r="C69" s="7" t="s">
        <v>113</v>
      </c>
      <c r="D69" s="7" t="s">
        <v>36</v>
      </c>
      <c r="E69" s="7" t="s">
        <v>418</v>
      </c>
      <c r="F69" s="7" t="s">
        <v>419</v>
      </c>
      <c r="G69" s="7" t="s">
        <v>190</v>
      </c>
      <c r="H69" s="7" t="s">
        <v>117</v>
      </c>
      <c r="I69" s="7" t="s">
        <v>24</v>
      </c>
      <c r="J69" s="7"/>
      <c r="K69" s="7" t="s">
        <v>196</v>
      </c>
      <c r="L69" s="7"/>
      <c r="M69" s="7" t="s">
        <v>121</v>
      </c>
      <c r="N69" s="7"/>
      <c r="O69" s="7"/>
      <c r="P69" s="7" t="s">
        <v>197</v>
      </c>
      <c r="Q69" s="7" t="s">
        <v>124</v>
      </c>
      <c r="R69" s="7" t="s">
        <v>23</v>
      </c>
      <c r="S69" s="7" t="n">
        <v>1</v>
      </c>
      <c r="T69" s="11" t="n">
        <v>0.22</v>
      </c>
      <c r="U69" s="12" t="n">
        <v>0.1948</v>
      </c>
    </row>
    <row r="70" customFormat="false" ht="15" hidden="false" customHeight="true" outlineLevel="0" collapsed="false">
      <c r="A70" s="7" t="s">
        <v>420</v>
      </c>
      <c r="B70" s="7" t="s">
        <v>421</v>
      </c>
      <c r="C70" s="7" t="s">
        <v>136</v>
      </c>
      <c r="D70" s="7" t="s">
        <v>36</v>
      </c>
      <c r="E70" s="7" t="s">
        <v>422</v>
      </c>
      <c r="F70" s="7" t="s">
        <v>423</v>
      </c>
      <c r="G70" s="7" t="s">
        <v>190</v>
      </c>
      <c r="H70" s="7" t="s">
        <v>117</v>
      </c>
      <c r="I70" s="7" t="s">
        <v>22</v>
      </c>
      <c r="J70" s="7"/>
      <c r="K70" s="7" t="s">
        <v>424</v>
      </c>
      <c r="L70" s="7" t="s">
        <v>120</v>
      </c>
      <c r="M70" s="7" t="s">
        <v>121</v>
      </c>
      <c r="N70" s="7" t="s">
        <v>157</v>
      </c>
      <c r="O70" s="7" t="s">
        <v>121</v>
      </c>
      <c r="P70" s="7" t="s">
        <v>123</v>
      </c>
      <c r="Q70" s="7" t="s">
        <v>124</v>
      </c>
      <c r="R70" s="7" t="s">
        <v>23</v>
      </c>
      <c r="S70" s="7" t="n">
        <v>0</v>
      </c>
      <c r="T70" s="11" t="n">
        <v>0.05</v>
      </c>
      <c r="U70" s="12" t="n">
        <v>1</v>
      </c>
    </row>
    <row r="71" customFormat="false" ht="15" hidden="false" customHeight="true" outlineLevel="0" collapsed="false">
      <c r="A71" s="7" t="s">
        <v>425</v>
      </c>
      <c r="B71" s="7" t="s">
        <v>426</v>
      </c>
      <c r="C71" s="7" t="s">
        <v>136</v>
      </c>
      <c r="D71" s="7" t="s">
        <v>36</v>
      </c>
      <c r="E71" s="7" t="s">
        <v>427</v>
      </c>
      <c r="F71" s="7" t="s">
        <v>428</v>
      </c>
      <c r="G71" s="7" t="s">
        <v>190</v>
      </c>
      <c r="H71" s="7" t="s">
        <v>117</v>
      </c>
      <c r="I71" s="7" t="s">
        <v>23</v>
      </c>
      <c r="J71" s="7"/>
      <c r="K71" s="7" t="s">
        <v>133</v>
      </c>
      <c r="L71" s="7" t="s">
        <v>120</v>
      </c>
      <c r="M71" s="7" t="s">
        <v>121</v>
      </c>
      <c r="N71" s="7" t="s">
        <v>157</v>
      </c>
      <c r="O71" s="7" t="s">
        <v>121</v>
      </c>
      <c r="P71" s="7" t="s">
        <v>141</v>
      </c>
      <c r="Q71" s="7" t="s">
        <v>124</v>
      </c>
      <c r="R71" s="7" t="s">
        <v>23</v>
      </c>
      <c r="S71" s="7" t="n">
        <v>0</v>
      </c>
      <c r="T71" s="11" t="n">
        <v>0</v>
      </c>
      <c r="U71" s="12" t="n">
        <v>1</v>
      </c>
    </row>
    <row r="72" customFormat="false" ht="15" hidden="false" customHeight="true" outlineLevel="0" collapsed="false">
      <c r="A72" s="7" t="s">
        <v>429</v>
      </c>
      <c r="B72" s="7" t="s">
        <v>430</v>
      </c>
      <c r="C72" s="7" t="s">
        <v>113</v>
      </c>
      <c r="D72" s="7" t="s">
        <v>36</v>
      </c>
      <c r="E72" s="7" t="s">
        <v>431</v>
      </c>
      <c r="F72" s="7" t="s">
        <v>432</v>
      </c>
      <c r="G72" s="7" t="s">
        <v>116</v>
      </c>
      <c r="H72" s="7" t="s">
        <v>117</v>
      </c>
      <c r="I72" s="7" t="s">
        <v>24</v>
      </c>
      <c r="J72" s="7"/>
      <c r="K72" s="7" t="s">
        <v>196</v>
      </c>
      <c r="L72" s="7"/>
      <c r="M72" s="7" t="s">
        <v>121</v>
      </c>
      <c r="N72" s="7"/>
      <c r="O72" s="7"/>
      <c r="P72" s="7" t="s">
        <v>197</v>
      </c>
      <c r="Q72" s="7" t="s">
        <v>124</v>
      </c>
      <c r="R72" s="7" t="s">
        <v>23</v>
      </c>
      <c r="S72" s="7" t="n">
        <v>0</v>
      </c>
      <c r="T72" s="11" t="n">
        <v>0</v>
      </c>
      <c r="U72" s="12" t="n">
        <v>1</v>
      </c>
    </row>
    <row r="73" customFormat="false" ht="15" hidden="false" customHeight="true" outlineLevel="0" collapsed="false">
      <c r="A73" s="7" t="s">
        <v>433</v>
      </c>
      <c r="B73" s="7" t="s">
        <v>434</v>
      </c>
      <c r="C73" s="7" t="s">
        <v>113</v>
      </c>
      <c r="D73" s="7" t="s">
        <v>36</v>
      </c>
      <c r="E73" s="7" t="s">
        <v>435</v>
      </c>
      <c r="F73" s="7" t="s">
        <v>436</v>
      </c>
      <c r="G73" s="7" t="s">
        <v>190</v>
      </c>
      <c r="H73" s="7" t="s">
        <v>117</v>
      </c>
      <c r="I73" s="7" t="s">
        <v>24</v>
      </c>
      <c r="J73" s="7"/>
      <c r="K73" s="7" t="s">
        <v>196</v>
      </c>
      <c r="L73" s="7"/>
      <c r="M73" s="7" t="s">
        <v>121</v>
      </c>
      <c r="N73" s="7"/>
      <c r="O73" s="7"/>
      <c r="P73" s="7" t="s">
        <v>197</v>
      </c>
      <c r="Q73" s="7" t="s">
        <v>124</v>
      </c>
      <c r="R73" s="7" t="s">
        <v>23</v>
      </c>
      <c r="S73" s="7" t="n">
        <v>1</v>
      </c>
      <c r="T73" s="11" t="n">
        <v>0.22</v>
      </c>
      <c r="U73" s="12" t="n">
        <v>0.1948</v>
      </c>
    </row>
    <row r="74" customFormat="false" ht="15" hidden="false" customHeight="true" outlineLevel="0" collapsed="false">
      <c r="A74" s="7" t="s">
        <v>437</v>
      </c>
      <c r="B74" s="7" t="s">
        <v>438</v>
      </c>
      <c r="C74" s="7" t="s">
        <v>136</v>
      </c>
      <c r="D74" s="7" t="s">
        <v>36</v>
      </c>
      <c r="E74" s="7" t="s">
        <v>439</v>
      </c>
      <c r="F74" s="7" t="s">
        <v>440</v>
      </c>
      <c r="G74" s="7" t="s">
        <v>190</v>
      </c>
      <c r="H74" s="7" t="s">
        <v>117</v>
      </c>
      <c r="I74" s="7" t="s">
        <v>22</v>
      </c>
      <c r="J74" s="7"/>
      <c r="K74" s="7" t="s">
        <v>182</v>
      </c>
      <c r="L74" s="7" t="s">
        <v>120</v>
      </c>
      <c r="M74" s="7" t="s">
        <v>121</v>
      </c>
      <c r="N74" s="7" t="s">
        <v>130</v>
      </c>
      <c r="O74" s="7" t="s">
        <v>121</v>
      </c>
      <c r="P74" s="7" t="s">
        <v>123</v>
      </c>
      <c r="Q74" s="7" t="s">
        <v>124</v>
      </c>
      <c r="R74" s="7" t="s">
        <v>23</v>
      </c>
      <c r="S74" s="7" t="n">
        <v>0</v>
      </c>
      <c r="T74" s="11" t="n">
        <v>0</v>
      </c>
      <c r="U74" s="12" t="n">
        <v>1</v>
      </c>
    </row>
    <row r="75" customFormat="false" ht="15" hidden="false" customHeight="true" outlineLevel="0" collapsed="false">
      <c r="A75" s="7" t="s">
        <v>441</v>
      </c>
      <c r="B75" s="7" t="s">
        <v>442</v>
      </c>
      <c r="C75" s="7" t="s">
        <v>113</v>
      </c>
      <c r="D75" s="7" t="s">
        <v>36</v>
      </c>
      <c r="E75" s="7" t="s">
        <v>443</v>
      </c>
      <c r="F75" s="7" t="s">
        <v>444</v>
      </c>
      <c r="G75" s="7" t="s">
        <v>116</v>
      </c>
      <c r="H75" s="7" t="s">
        <v>350</v>
      </c>
      <c r="I75" s="7" t="s">
        <v>24</v>
      </c>
      <c r="J75" s="7"/>
      <c r="K75" s="7" t="s">
        <v>196</v>
      </c>
      <c r="L75" s="7"/>
      <c r="M75" s="7" t="s">
        <v>121</v>
      </c>
      <c r="N75" s="7"/>
      <c r="O75" s="7"/>
      <c r="P75" s="7" t="s">
        <v>197</v>
      </c>
      <c r="Q75" s="7" t="s">
        <v>124</v>
      </c>
      <c r="R75" s="7" t="s">
        <v>19</v>
      </c>
      <c r="S75" s="7" t="n">
        <v>3</v>
      </c>
      <c r="T75" s="11" t="n">
        <v>0.42</v>
      </c>
      <c r="U75" s="12" t="n">
        <v>0.0089</v>
      </c>
    </row>
    <row r="76" customFormat="false" ht="15" hidden="false" customHeight="true" outlineLevel="0" collapsed="false">
      <c r="A76" s="7" t="s">
        <v>445</v>
      </c>
      <c r="B76" s="7" t="s">
        <v>126</v>
      </c>
      <c r="C76" s="7" t="s">
        <v>113</v>
      </c>
      <c r="D76" s="7" t="s">
        <v>446</v>
      </c>
      <c r="E76" s="7" t="s">
        <v>127</v>
      </c>
      <c r="F76" s="7" t="s">
        <v>447</v>
      </c>
      <c r="G76" s="7" t="s">
        <v>116</v>
      </c>
      <c r="H76" s="7" t="s">
        <v>448</v>
      </c>
      <c r="I76" s="7" t="s">
        <v>22</v>
      </c>
      <c r="J76" s="7"/>
      <c r="K76" s="7" t="s">
        <v>182</v>
      </c>
      <c r="L76" s="7" t="s">
        <v>120</v>
      </c>
      <c r="M76" s="7" t="s">
        <v>124</v>
      </c>
      <c r="N76" s="7" t="s">
        <v>130</v>
      </c>
      <c r="O76" s="7" t="s">
        <v>121</v>
      </c>
      <c r="P76" s="7" t="s">
        <v>123</v>
      </c>
      <c r="Q76" s="7" t="s">
        <v>124</v>
      </c>
      <c r="R76" s="7" t="s">
        <v>23</v>
      </c>
      <c r="S76" s="7" t="n">
        <v>0</v>
      </c>
      <c r="T76" s="11" t="n">
        <v>0</v>
      </c>
      <c r="U76" s="12" t="n">
        <v>1</v>
      </c>
    </row>
    <row r="77" customFormat="false" ht="15" hidden="false" customHeight="true" outlineLevel="0" collapsed="false">
      <c r="A77" s="7" t="s">
        <v>449</v>
      </c>
      <c r="B77" s="7" t="s">
        <v>135</v>
      </c>
      <c r="C77" s="7" t="s">
        <v>136</v>
      </c>
      <c r="D77" s="7" t="s">
        <v>446</v>
      </c>
      <c r="E77" s="7" t="s">
        <v>137</v>
      </c>
      <c r="F77" s="7" t="s">
        <v>450</v>
      </c>
      <c r="G77" s="7" t="s">
        <v>116</v>
      </c>
      <c r="H77" s="7" t="s">
        <v>448</v>
      </c>
      <c r="I77" s="7" t="s">
        <v>23</v>
      </c>
      <c r="J77" s="7"/>
      <c r="K77" s="7" t="s">
        <v>133</v>
      </c>
      <c r="L77" s="7" t="s">
        <v>120</v>
      </c>
      <c r="M77" s="7" t="s">
        <v>124</v>
      </c>
      <c r="N77" s="7" t="s">
        <v>130</v>
      </c>
      <c r="O77" s="7" t="s">
        <v>121</v>
      </c>
      <c r="P77" s="7" t="s">
        <v>123</v>
      </c>
      <c r="Q77" s="7" t="s">
        <v>124</v>
      </c>
      <c r="R77" s="7" t="s">
        <v>23</v>
      </c>
      <c r="S77" s="7" t="n">
        <v>3</v>
      </c>
      <c r="T77" s="11" t="n">
        <v>1.92</v>
      </c>
      <c r="U77" s="12" t="n">
        <v>0.3008</v>
      </c>
    </row>
    <row r="78" customFormat="false" ht="15" hidden="false" customHeight="true" outlineLevel="0" collapsed="false">
      <c r="A78" s="7" t="s">
        <v>451</v>
      </c>
      <c r="B78" s="7" t="s">
        <v>143</v>
      </c>
      <c r="C78" s="7" t="s">
        <v>113</v>
      </c>
      <c r="D78" s="7" t="s">
        <v>446</v>
      </c>
      <c r="E78" s="7" t="s">
        <v>144</v>
      </c>
      <c r="F78" s="7" t="s">
        <v>452</v>
      </c>
      <c r="G78" s="7" t="s">
        <v>116</v>
      </c>
      <c r="H78" s="7" t="s">
        <v>448</v>
      </c>
      <c r="I78" s="7" t="s">
        <v>23</v>
      </c>
      <c r="J78" s="7"/>
      <c r="K78" s="7" t="s">
        <v>133</v>
      </c>
      <c r="L78" s="7" t="s">
        <v>120</v>
      </c>
      <c r="M78" s="7" t="s">
        <v>124</v>
      </c>
      <c r="N78" s="7" t="s">
        <v>130</v>
      </c>
      <c r="O78" s="7" t="s">
        <v>121</v>
      </c>
      <c r="P78" s="7" t="s">
        <v>123</v>
      </c>
      <c r="Q78" s="7" t="s">
        <v>124</v>
      </c>
      <c r="R78" s="7" t="s">
        <v>23</v>
      </c>
      <c r="S78" s="7" t="n">
        <v>0</v>
      </c>
      <c r="T78" s="11" t="n">
        <v>0</v>
      </c>
      <c r="U78" s="12" t="n">
        <v>1</v>
      </c>
    </row>
    <row r="79" customFormat="false" ht="15" hidden="false" customHeight="true" outlineLevel="0" collapsed="false">
      <c r="A79" s="7" t="s">
        <v>453</v>
      </c>
      <c r="B79" s="7" t="s">
        <v>149</v>
      </c>
      <c r="C79" s="7" t="s">
        <v>136</v>
      </c>
      <c r="D79" s="7" t="s">
        <v>446</v>
      </c>
      <c r="E79" s="7" t="s">
        <v>150</v>
      </c>
      <c r="F79" s="7" t="s">
        <v>454</v>
      </c>
      <c r="G79" s="7" t="s">
        <v>116</v>
      </c>
      <c r="H79" s="7" t="s">
        <v>448</v>
      </c>
      <c r="I79" s="7" t="s">
        <v>22</v>
      </c>
      <c r="J79" s="7"/>
      <c r="K79" s="7" t="s">
        <v>152</v>
      </c>
      <c r="L79" s="7" t="s">
        <v>120</v>
      </c>
      <c r="M79" s="7" t="s">
        <v>124</v>
      </c>
      <c r="N79" s="7" t="s">
        <v>157</v>
      </c>
      <c r="O79" s="7" t="s">
        <v>121</v>
      </c>
      <c r="P79" s="7" t="s">
        <v>153</v>
      </c>
      <c r="Q79" s="7" t="s">
        <v>124</v>
      </c>
      <c r="R79" s="7" t="s">
        <v>23</v>
      </c>
      <c r="S79" s="7" t="n">
        <v>0</v>
      </c>
      <c r="T79" s="11" t="n">
        <v>0</v>
      </c>
      <c r="U79" s="12" t="n">
        <v>1</v>
      </c>
    </row>
    <row r="80" customFormat="false" ht="15" hidden="false" customHeight="true" outlineLevel="0" collapsed="false">
      <c r="A80" s="7" t="s">
        <v>455</v>
      </c>
      <c r="B80" s="7" t="s">
        <v>159</v>
      </c>
      <c r="C80" s="7" t="s">
        <v>113</v>
      </c>
      <c r="D80" s="7" t="s">
        <v>446</v>
      </c>
      <c r="E80" s="7" t="s">
        <v>160</v>
      </c>
      <c r="F80" s="7" t="s">
        <v>456</v>
      </c>
      <c r="G80" s="7" t="s">
        <v>116</v>
      </c>
      <c r="H80" s="7" t="s">
        <v>448</v>
      </c>
      <c r="I80" s="7" t="s">
        <v>22</v>
      </c>
      <c r="J80" s="7"/>
      <c r="K80" s="7" t="s">
        <v>424</v>
      </c>
      <c r="L80" s="7" t="s">
        <v>120</v>
      </c>
      <c r="M80" s="7" t="s">
        <v>124</v>
      </c>
      <c r="N80" s="7" t="s">
        <v>130</v>
      </c>
      <c r="O80" s="7" t="s">
        <v>121</v>
      </c>
      <c r="P80" s="7" t="s">
        <v>123</v>
      </c>
      <c r="Q80" s="7" t="s">
        <v>124</v>
      </c>
      <c r="R80" s="7" t="s">
        <v>23</v>
      </c>
      <c r="S80" s="7" t="n">
        <v>2</v>
      </c>
      <c r="T80" s="11" t="n">
        <v>2.33</v>
      </c>
      <c r="U80" s="12" t="n">
        <v>0.6768</v>
      </c>
    </row>
    <row r="81" customFormat="false" ht="15" hidden="false" customHeight="true" outlineLevel="0" collapsed="false">
      <c r="A81" s="7" t="s">
        <v>457</v>
      </c>
      <c r="B81" s="7" t="s">
        <v>169</v>
      </c>
      <c r="C81" s="7" t="s">
        <v>113</v>
      </c>
      <c r="D81" s="7" t="s">
        <v>446</v>
      </c>
      <c r="E81" s="7" t="s">
        <v>170</v>
      </c>
      <c r="F81" s="7" t="s">
        <v>458</v>
      </c>
      <c r="G81" s="7" t="s">
        <v>116</v>
      </c>
      <c r="H81" s="7" t="s">
        <v>448</v>
      </c>
      <c r="I81" s="7" t="s">
        <v>22</v>
      </c>
      <c r="J81" s="7"/>
      <c r="K81" s="7" t="s">
        <v>459</v>
      </c>
      <c r="L81" s="7" t="s">
        <v>120</v>
      </c>
      <c r="M81" s="7" t="s">
        <v>121</v>
      </c>
      <c r="N81" s="7" t="s">
        <v>130</v>
      </c>
      <c r="O81" s="7" t="s">
        <v>121</v>
      </c>
      <c r="P81" s="7" t="s">
        <v>123</v>
      </c>
      <c r="Q81" s="7" t="s">
        <v>124</v>
      </c>
      <c r="R81" s="7" t="s">
        <v>23</v>
      </c>
      <c r="S81" s="7" t="n">
        <v>0</v>
      </c>
      <c r="T81" s="11" t="n">
        <v>0</v>
      </c>
      <c r="U81" s="12" t="n">
        <v>1</v>
      </c>
    </row>
    <row r="82" customFormat="false" ht="15" hidden="false" customHeight="true" outlineLevel="0" collapsed="false">
      <c r="A82" s="7" t="s">
        <v>460</v>
      </c>
      <c r="B82" s="7" t="s">
        <v>175</v>
      </c>
      <c r="C82" s="7" t="s">
        <v>136</v>
      </c>
      <c r="D82" s="7" t="s">
        <v>446</v>
      </c>
      <c r="E82" s="7" t="s">
        <v>176</v>
      </c>
      <c r="F82" s="7" t="s">
        <v>461</v>
      </c>
      <c r="G82" s="7" t="s">
        <v>116</v>
      </c>
      <c r="H82" s="7" t="s">
        <v>448</v>
      </c>
      <c r="I82" s="7" t="s">
        <v>22</v>
      </c>
      <c r="J82" s="7"/>
      <c r="K82" s="7" t="s">
        <v>152</v>
      </c>
      <c r="L82" s="7" t="s">
        <v>120</v>
      </c>
      <c r="M82" s="7" t="s">
        <v>124</v>
      </c>
      <c r="N82" s="7" t="s">
        <v>157</v>
      </c>
      <c r="O82" s="7" t="s">
        <v>121</v>
      </c>
      <c r="P82" s="7" t="s">
        <v>317</v>
      </c>
      <c r="Q82" s="7" t="s">
        <v>124</v>
      </c>
      <c r="R82" s="7" t="s">
        <v>23</v>
      </c>
      <c r="S82" s="7" t="n">
        <v>0</v>
      </c>
      <c r="T82" s="11" t="n">
        <v>0</v>
      </c>
      <c r="U82" s="12" t="n">
        <v>1</v>
      </c>
    </row>
    <row r="83" customFormat="false" ht="15" hidden="false" customHeight="true" outlineLevel="0" collapsed="false">
      <c r="A83" s="7" t="s">
        <v>462</v>
      </c>
      <c r="B83" s="7" t="s">
        <v>179</v>
      </c>
      <c r="C83" s="7" t="s">
        <v>136</v>
      </c>
      <c r="D83" s="7" t="s">
        <v>446</v>
      </c>
      <c r="E83" s="7" t="s">
        <v>180</v>
      </c>
      <c r="F83" s="7" t="s">
        <v>463</v>
      </c>
      <c r="G83" s="7" t="s">
        <v>116</v>
      </c>
      <c r="H83" s="7" t="s">
        <v>448</v>
      </c>
      <c r="I83" s="7" t="s">
        <v>22</v>
      </c>
      <c r="J83" s="7"/>
      <c r="K83" s="7" t="s">
        <v>152</v>
      </c>
      <c r="L83" s="7" t="s">
        <v>120</v>
      </c>
      <c r="M83" s="7" t="s">
        <v>124</v>
      </c>
      <c r="N83" s="7" t="s">
        <v>157</v>
      </c>
      <c r="O83" s="7" t="s">
        <v>121</v>
      </c>
      <c r="P83" s="7" t="s">
        <v>153</v>
      </c>
      <c r="Q83" s="7" t="s">
        <v>124</v>
      </c>
      <c r="R83" s="7" t="s">
        <v>23</v>
      </c>
      <c r="S83" s="7" t="n">
        <v>0</v>
      </c>
      <c r="T83" s="11" t="n">
        <v>0.58</v>
      </c>
      <c r="U83" s="12" t="n">
        <v>1</v>
      </c>
    </row>
    <row r="84" customFormat="false" ht="15" hidden="false" customHeight="true" outlineLevel="0" collapsed="false">
      <c r="A84" s="7" t="s">
        <v>464</v>
      </c>
      <c r="B84" s="7" t="s">
        <v>203</v>
      </c>
      <c r="C84" s="7" t="s">
        <v>136</v>
      </c>
      <c r="D84" s="7" t="s">
        <v>446</v>
      </c>
      <c r="E84" s="7" t="s">
        <v>204</v>
      </c>
      <c r="F84" s="7" t="s">
        <v>465</v>
      </c>
      <c r="G84" s="7" t="s">
        <v>116</v>
      </c>
      <c r="H84" s="7" t="s">
        <v>448</v>
      </c>
      <c r="I84" s="7" t="s">
        <v>21</v>
      </c>
      <c r="J84" s="7" t="s">
        <v>206</v>
      </c>
      <c r="K84" s="7" t="s">
        <v>207</v>
      </c>
      <c r="L84" s="7" t="s">
        <v>120</v>
      </c>
      <c r="M84" s="7" t="s">
        <v>124</v>
      </c>
      <c r="N84" s="7" t="s">
        <v>122</v>
      </c>
      <c r="O84" s="7" t="s">
        <v>121</v>
      </c>
      <c r="P84" s="7" t="s">
        <v>141</v>
      </c>
      <c r="Q84" s="7" t="s">
        <v>124</v>
      </c>
      <c r="R84" s="7" t="s">
        <v>23</v>
      </c>
      <c r="S84" s="7" t="n">
        <v>1</v>
      </c>
      <c r="T84" s="11" t="n">
        <v>4.17</v>
      </c>
      <c r="U84" s="12" t="n">
        <v>0.9845</v>
      </c>
    </row>
    <row r="85" customFormat="false" ht="15" hidden="false" customHeight="true" outlineLevel="0" collapsed="false">
      <c r="A85" s="7" t="s">
        <v>466</v>
      </c>
      <c r="B85" s="7" t="s">
        <v>112</v>
      </c>
      <c r="C85" s="7" t="s">
        <v>113</v>
      </c>
      <c r="D85" s="7" t="s">
        <v>446</v>
      </c>
      <c r="E85" s="7" t="s">
        <v>114</v>
      </c>
      <c r="F85" s="7" t="s">
        <v>467</v>
      </c>
      <c r="G85" s="7" t="s">
        <v>116</v>
      </c>
      <c r="H85" s="7" t="s">
        <v>448</v>
      </c>
      <c r="I85" s="7" t="s">
        <v>23</v>
      </c>
      <c r="J85" s="7"/>
      <c r="K85" s="7" t="s">
        <v>133</v>
      </c>
      <c r="L85" s="7" t="s">
        <v>120</v>
      </c>
      <c r="M85" s="7" t="s">
        <v>121</v>
      </c>
      <c r="N85" s="7" t="s">
        <v>130</v>
      </c>
      <c r="O85" s="7" t="s">
        <v>121</v>
      </c>
      <c r="P85" s="7" t="s">
        <v>123</v>
      </c>
      <c r="Q85" s="7" t="s">
        <v>124</v>
      </c>
      <c r="R85" s="7" t="s">
        <v>23</v>
      </c>
      <c r="S85" s="7" t="n">
        <v>0</v>
      </c>
      <c r="T85" s="11" t="n">
        <v>0.17</v>
      </c>
      <c r="U85" s="12" t="n">
        <v>1</v>
      </c>
    </row>
    <row r="86" customFormat="false" ht="15" hidden="false" customHeight="true" outlineLevel="0" collapsed="false">
      <c r="A86" s="7" t="s">
        <v>468</v>
      </c>
      <c r="B86" s="7" t="s">
        <v>296</v>
      </c>
      <c r="C86" s="7" t="s">
        <v>113</v>
      </c>
      <c r="D86" s="7" t="s">
        <v>446</v>
      </c>
      <c r="E86" s="7" t="s">
        <v>297</v>
      </c>
      <c r="F86" s="7" t="s">
        <v>469</v>
      </c>
      <c r="G86" s="7" t="s">
        <v>116</v>
      </c>
      <c r="H86" s="7" t="s">
        <v>448</v>
      </c>
      <c r="I86" s="7" t="s">
        <v>22</v>
      </c>
      <c r="J86" s="7"/>
      <c r="K86" s="7" t="s">
        <v>470</v>
      </c>
      <c r="L86" s="7" t="s">
        <v>120</v>
      </c>
      <c r="M86" s="7" t="s">
        <v>121</v>
      </c>
      <c r="N86" s="7" t="s">
        <v>130</v>
      </c>
      <c r="O86" s="7" t="s">
        <v>121</v>
      </c>
      <c r="P86" s="7" t="s">
        <v>123</v>
      </c>
      <c r="Q86" s="7" t="s">
        <v>124</v>
      </c>
      <c r="R86" s="7" t="s">
        <v>23</v>
      </c>
      <c r="S86" s="7" t="n">
        <v>0</v>
      </c>
      <c r="T86" s="11" t="n">
        <v>0</v>
      </c>
      <c r="U86" s="12" t="n">
        <v>1</v>
      </c>
    </row>
    <row r="87" customFormat="false" ht="15" hidden="false" customHeight="true" outlineLevel="0" collapsed="false">
      <c r="A87" s="7" t="s">
        <v>471</v>
      </c>
      <c r="B87" s="7" t="s">
        <v>319</v>
      </c>
      <c r="C87" s="7" t="s">
        <v>136</v>
      </c>
      <c r="D87" s="7" t="s">
        <v>446</v>
      </c>
      <c r="E87" s="7" t="s">
        <v>320</v>
      </c>
      <c r="F87" s="7" t="s">
        <v>472</v>
      </c>
      <c r="G87" s="7" t="s">
        <v>116</v>
      </c>
      <c r="H87" s="7" t="s">
        <v>448</v>
      </c>
      <c r="I87" s="7" t="s">
        <v>23</v>
      </c>
      <c r="J87" s="7"/>
      <c r="K87" s="7" t="s">
        <v>133</v>
      </c>
      <c r="L87" s="7" t="s">
        <v>120</v>
      </c>
      <c r="M87" s="7" t="s">
        <v>121</v>
      </c>
      <c r="N87" s="7"/>
      <c r="O87" s="7"/>
      <c r="P87" s="7" t="s">
        <v>317</v>
      </c>
      <c r="Q87" s="7" t="s">
        <v>124</v>
      </c>
      <c r="R87" s="7" t="s">
        <v>23</v>
      </c>
      <c r="S87" s="7" t="n">
        <v>0</v>
      </c>
      <c r="T87" s="11" t="n">
        <v>0.08</v>
      </c>
      <c r="U87" s="12" t="n">
        <v>1</v>
      </c>
    </row>
    <row r="88" customFormat="false" ht="15" hidden="false" customHeight="true" outlineLevel="0" collapsed="false">
      <c r="A88" s="7" t="s">
        <v>473</v>
      </c>
      <c r="B88" s="7" t="s">
        <v>301</v>
      </c>
      <c r="C88" s="7" t="s">
        <v>136</v>
      </c>
      <c r="D88" s="7" t="s">
        <v>446</v>
      </c>
      <c r="E88" s="7" t="s">
        <v>302</v>
      </c>
      <c r="F88" s="7" t="s">
        <v>474</v>
      </c>
      <c r="G88" s="7" t="s">
        <v>116</v>
      </c>
      <c r="H88" s="7" t="s">
        <v>448</v>
      </c>
      <c r="I88" s="7" t="s">
        <v>22</v>
      </c>
      <c r="J88" s="7"/>
      <c r="K88" s="7" t="s">
        <v>475</v>
      </c>
      <c r="L88" s="7" t="s">
        <v>120</v>
      </c>
      <c r="M88" s="7" t="s">
        <v>121</v>
      </c>
      <c r="N88" s="7" t="s">
        <v>130</v>
      </c>
      <c r="O88" s="7" t="s">
        <v>121</v>
      </c>
      <c r="P88" s="7" t="s">
        <v>123</v>
      </c>
      <c r="Q88" s="7" t="s">
        <v>124</v>
      </c>
      <c r="R88" s="7" t="s">
        <v>23</v>
      </c>
      <c r="S88" s="7" t="n">
        <v>0</v>
      </c>
      <c r="T88" s="11" t="n">
        <v>0</v>
      </c>
      <c r="U88" s="12" t="n">
        <v>1</v>
      </c>
    </row>
    <row r="89" customFormat="false" ht="15" hidden="false" customHeight="true" outlineLevel="0" collapsed="false">
      <c r="A89" s="7" t="s">
        <v>476</v>
      </c>
      <c r="B89" s="7" t="s">
        <v>236</v>
      </c>
      <c r="C89" s="7" t="s">
        <v>136</v>
      </c>
      <c r="D89" s="7" t="s">
        <v>446</v>
      </c>
      <c r="E89" s="7" t="s">
        <v>237</v>
      </c>
      <c r="F89" s="7" t="s">
        <v>477</v>
      </c>
      <c r="G89" s="7" t="s">
        <v>116</v>
      </c>
      <c r="H89" s="7" t="s">
        <v>448</v>
      </c>
      <c r="I89" s="7" t="s">
        <v>23</v>
      </c>
      <c r="J89" s="7"/>
      <c r="K89" s="7" t="s">
        <v>133</v>
      </c>
      <c r="L89" s="7" t="s">
        <v>120</v>
      </c>
      <c r="M89" s="7" t="s">
        <v>121</v>
      </c>
      <c r="N89" s="7" t="s">
        <v>130</v>
      </c>
      <c r="O89" s="7" t="s">
        <v>121</v>
      </c>
      <c r="P89" s="7" t="s">
        <v>123</v>
      </c>
      <c r="Q89" s="7" t="s">
        <v>124</v>
      </c>
      <c r="R89" s="7" t="s">
        <v>23</v>
      </c>
      <c r="S89" s="7" t="n">
        <v>1</v>
      </c>
      <c r="T89" s="11" t="n">
        <v>0.58</v>
      </c>
      <c r="U89" s="12" t="n">
        <v>0.442</v>
      </c>
    </row>
    <row r="90" customFormat="false" ht="15" hidden="false" customHeight="true" outlineLevel="0" collapsed="false">
      <c r="A90" s="7" t="s">
        <v>478</v>
      </c>
      <c r="B90" s="7" t="s">
        <v>187</v>
      </c>
      <c r="C90" s="7" t="s">
        <v>136</v>
      </c>
      <c r="D90" s="7" t="s">
        <v>446</v>
      </c>
      <c r="E90" s="7" t="s">
        <v>188</v>
      </c>
      <c r="F90" s="7" t="s">
        <v>479</v>
      </c>
      <c r="G90" s="7" t="s">
        <v>116</v>
      </c>
      <c r="H90" s="7" t="s">
        <v>448</v>
      </c>
      <c r="I90" s="7" t="s">
        <v>23</v>
      </c>
      <c r="J90" s="7"/>
      <c r="K90" s="7" t="s">
        <v>133</v>
      </c>
      <c r="L90" s="7" t="s">
        <v>120</v>
      </c>
      <c r="M90" s="7" t="s">
        <v>121</v>
      </c>
      <c r="N90" s="7" t="s">
        <v>130</v>
      </c>
      <c r="O90" s="7" t="s">
        <v>121</v>
      </c>
      <c r="P90" s="7" t="s">
        <v>123</v>
      </c>
      <c r="Q90" s="7" t="s">
        <v>124</v>
      </c>
      <c r="R90" s="7" t="s">
        <v>23</v>
      </c>
      <c r="S90" s="7" t="n">
        <v>0</v>
      </c>
      <c r="T90" s="11" t="n">
        <v>0</v>
      </c>
      <c r="U90" s="12" t="n">
        <v>1</v>
      </c>
    </row>
    <row r="91" customFormat="false" ht="15" hidden="false" customHeight="true" outlineLevel="0" collapsed="false">
      <c r="A91" s="7" t="s">
        <v>480</v>
      </c>
      <c r="B91" s="7" t="s">
        <v>393</v>
      </c>
      <c r="C91" s="7" t="s">
        <v>136</v>
      </c>
      <c r="D91" s="7" t="s">
        <v>446</v>
      </c>
      <c r="E91" s="7" t="s">
        <v>394</v>
      </c>
      <c r="F91" s="7" t="s">
        <v>481</v>
      </c>
      <c r="G91" s="7" t="s">
        <v>116</v>
      </c>
      <c r="H91" s="7" t="s">
        <v>448</v>
      </c>
      <c r="I91" s="7" t="s">
        <v>23</v>
      </c>
      <c r="J91" s="7"/>
      <c r="K91" s="7" t="s">
        <v>133</v>
      </c>
      <c r="L91" s="7" t="s">
        <v>120</v>
      </c>
      <c r="M91" s="7" t="s">
        <v>121</v>
      </c>
      <c r="N91" s="7" t="s">
        <v>157</v>
      </c>
      <c r="O91" s="7" t="s">
        <v>121</v>
      </c>
      <c r="P91" s="7" t="s">
        <v>153</v>
      </c>
      <c r="Q91" s="7" t="s">
        <v>124</v>
      </c>
      <c r="R91" s="7" t="s">
        <v>23</v>
      </c>
      <c r="S91" s="7" t="n">
        <v>0</v>
      </c>
      <c r="T91" s="11" t="n">
        <v>0.25</v>
      </c>
      <c r="U91" s="12" t="n">
        <v>1</v>
      </c>
    </row>
    <row r="92" customFormat="false" ht="15" hidden="false" customHeight="true" outlineLevel="0" collapsed="false">
      <c r="A92" s="7" t="s">
        <v>482</v>
      </c>
      <c r="B92" s="7" t="s">
        <v>385</v>
      </c>
      <c r="C92" s="7" t="s">
        <v>136</v>
      </c>
      <c r="D92" s="7" t="s">
        <v>446</v>
      </c>
      <c r="E92" s="7" t="s">
        <v>386</v>
      </c>
      <c r="F92" s="7" t="s">
        <v>483</v>
      </c>
      <c r="G92" s="7" t="s">
        <v>116</v>
      </c>
      <c r="H92" s="7" t="s">
        <v>448</v>
      </c>
      <c r="I92" s="7" t="s">
        <v>23</v>
      </c>
      <c r="J92" s="7"/>
      <c r="K92" s="7" t="s">
        <v>133</v>
      </c>
      <c r="L92" s="7" t="s">
        <v>120</v>
      </c>
      <c r="M92" s="7" t="s">
        <v>121</v>
      </c>
      <c r="N92" s="7" t="s">
        <v>130</v>
      </c>
      <c r="O92" s="7" t="s">
        <v>121</v>
      </c>
      <c r="P92" s="7" t="s">
        <v>123</v>
      </c>
      <c r="Q92" s="7" t="s">
        <v>124</v>
      </c>
      <c r="R92" s="7" t="s">
        <v>23</v>
      </c>
      <c r="S92" s="7" t="n">
        <v>4</v>
      </c>
      <c r="T92" s="11" t="n">
        <v>1.17</v>
      </c>
      <c r="U92" s="12" t="n">
        <v>0.0309</v>
      </c>
    </row>
    <row r="93" customFormat="false" ht="15" hidden="false" customHeight="true" outlineLevel="0" collapsed="false">
      <c r="A93" s="7" t="s">
        <v>484</v>
      </c>
      <c r="B93" s="7" t="s">
        <v>389</v>
      </c>
      <c r="C93" s="7" t="s">
        <v>113</v>
      </c>
      <c r="D93" s="7" t="s">
        <v>446</v>
      </c>
      <c r="E93" s="7" t="s">
        <v>390</v>
      </c>
      <c r="F93" s="7" t="s">
        <v>485</v>
      </c>
      <c r="G93" s="7" t="s">
        <v>116</v>
      </c>
      <c r="H93" s="7" t="s">
        <v>448</v>
      </c>
      <c r="I93" s="7" t="s">
        <v>22</v>
      </c>
      <c r="J93" s="7"/>
      <c r="K93" s="7" t="s">
        <v>152</v>
      </c>
      <c r="L93" s="7" t="s">
        <v>120</v>
      </c>
      <c r="M93" s="7" t="s">
        <v>121</v>
      </c>
      <c r="N93" s="7" t="s">
        <v>157</v>
      </c>
      <c r="O93" s="7" t="s">
        <v>121</v>
      </c>
      <c r="P93" s="7" t="s">
        <v>153</v>
      </c>
      <c r="Q93" s="7" t="s">
        <v>124</v>
      </c>
      <c r="R93" s="7" t="s">
        <v>23</v>
      </c>
      <c r="S93" s="7" t="n">
        <v>0</v>
      </c>
      <c r="T93" s="11" t="n">
        <v>0</v>
      </c>
      <c r="U93" s="12" t="n">
        <v>1</v>
      </c>
    </row>
    <row r="94" customFormat="false" ht="15" hidden="false" customHeight="true" outlineLevel="0" collapsed="false">
      <c r="A94" s="7" t="s">
        <v>486</v>
      </c>
      <c r="B94" s="7" t="s">
        <v>278</v>
      </c>
      <c r="C94" s="7" t="s">
        <v>136</v>
      </c>
      <c r="D94" s="7" t="s">
        <v>446</v>
      </c>
      <c r="E94" s="7" t="s">
        <v>279</v>
      </c>
      <c r="F94" s="7" t="s">
        <v>487</v>
      </c>
      <c r="G94" s="7" t="s">
        <v>116</v>
      </c>
      <c r="H94" s="7" t="s">
        <v>448</v>
      </c>
      <c r="I94" s="7" t="s">
        <v>22</v>
      </c>
      <c r="J94" s="7"/>
      <c r="K94" s="7" t="s">
        <v>488</v>
      </c>
      <c r="L94" s="7" t="s">
        <v>120</v>
      </c>
      <c r="M94" s="7" t="s">
        <v>121</v>
      </c>
      <c r="N94" s="7" t="s">
        <v>130</v>
      </c>
      <c r="O94" s="7" t="s">
        <v>121</v>
      </c>
      <c r="P94" s="7" t="s">
        <v>123</v>
      </c>
      <c r="Q94" s="7" t="s">
        <v>124</v>
      </c>
      <c r="R94" s="7" t="s">
        <v>23</v>
      </c>
      <c r="S94" s="7" t="n">
        <v>0</v>
      </c>
      <c r="T94" s="11" t="n">
        <v>0</v>
      </c>
      <c r="U94" s="12" t="n">
        <v>1</v>
      </c>
    </row>
    <row r="95" customFormat="false" ht="15" hidden="false" customHeight="true" outlineLevel="0" collapsed="false">
      <c r="A95" s="7" t="s">
        <v>489</v>
      </c>
      <c r="B95" s="7" t="s">
        <v>223</v>
      </c>
      <c r="C95" s="7" t="s">
        <v>136</v>
      </c>
      <c r="D95" s="7" t="s">
        <v>446</v>
      </c>
      <c r="E95" s="7" t="s">
        <v>224</v>
      </c>
      <c r="F95" s="7" t="s">
        <v>490</v>
      </c>
      <c r="G95" s="7" t="s">
        <v>116</v>
      </c>
      <c r="H95" s="7" t="s">
        <v>448</v>
      </c>
      <c r="I95" s="7" t="s">
        <v>23</v>
      </c>
      <c r="J95" s="7"/>
      <c r="K95" s="7" t="s">
        <v>133</v>
      </c>
      <c r="L95" s="7" t="s">
        <v>120</v>
      </c>
      <c r="M95" s="7" t="s">
        <v>121</v>
      </c>
      <c r="N95" s="7" t="s">
        <v>130</v>
      </c>
      <c r="O95" s="7" t="s">
        <v>121</v>
      </c>
      <c r="P95" s="7" t="s">
        <v>123</v>
      </c>
      <c r="Q95" s="7" t="s">
        <v>124</v>
      </c>
      <c r="R95" s="7" t="s">
        <v>23</v>
      </c>
      <c r="S95" s="7" t="n">
        <v>2</v>
      </c>
      <c r="T95" s="11" t="n">
        <v>0.75</v>
      </c>
      <c r="U95" s="12" t="n">
        <v>0.1734</v>
      </c>
    </row>
    <row r="96" customFormat="false" ht="15" hidden="false" customHeight="true" outlineLevel="0" collapsed="false">
      <c r="A96" s="7" t="s">
        <v>491</v>
      </c>
      <c r="B96" s="7" t="s">
        <v>245</v>
      </c>
      <c r="C96" s="7" t="s">
        <v>113</v>
      </c>
      <c r="D96" s="7" t="s">
        <v>446</v>
      </c>
      <c r="E96" s="7" t="s">
        <v>246</v>
      </c>
      <c r="F96" s="7" t="s">
        <v>492</v>
      </c>
      <c r="G96" s="7" t="s">
        <v>116</v>
      </c>
      <c r="H96" s="7" t="s">
        <v>448</v>
      </c>
      <c r="I96" s="7" t="s">
        <v>23</v>
      </c>
      <c r="J96" s="7"/>
      <c r="K96" s="7" t="s">
        <v>133</v>
      </c>
      <c r="L96" s="7" t="s">
        <v>120</v>
      </c>
      <c r="M96" s="7" t="s">
        <v>121</v>
      </c>
      <c r="N96" s="7" t="s">
        <v>157</v>
      </c>
      <c r="O96" s="7" t="s">
        <v>121</v>
      </c>
      <c r="P96" s="7" t="s">
        <v>153</v>
      </c>
      <c r="Q96" s="7" t="s">
        <v>124</v>
      </c>
      <c r="R96" s="7" t="s">
        <v>23</v>
      </c>
      <c r="S96" s="7" t="n">
        <v>0</v>
      </c>
      <c r="T96" s="11" t="n">
        <v>0.08</v>
      </c>
      <c r="U96" s="12" t="n">
        <v>1</v>
      </c>
    </row>
    <row r="97" customFormat="false" ht="15" hidden="false" customHeight="true" outlineLevel="0" collapsed="false">
      <c r="A97" s="7" t="s">
        <v>493</v>
      </c>
      <c r="B97" s="7" t="s">
        <v>283</v>
      </c>
      <c r="C97" s="7" t="s">
        <v>136</v>
      </c>
      <c r="D97" s="7" t="s">
        <v>446</v>
      </c>
      <c r="E97" s="7" t="s">
        <v>284</v>
      </c>
      <c r="F97" s="7" t="s">
        <v>494</v>
      </c>
      <c r="G97" s="7" t="s">
        <v>116</v>
      </c>
      <c r="H97" s="7" t="s">
        <v>448</v>
      </c>
      <c r="I97" s="7" t="s">
        <v>23</v>
      </c>
      <c r="J97" s="7"/>
      <c r="K97" s="7" t="s">
        <v>133</v>
      </c>
      <c r="L97" s="7" t="s">
        <v>120</v>
      </c>
      <c r="M97" s="7" t="s">
        <v>121</v>
      </c>
      <c r="N97" s="7"/>
      <c r="O97" s="7"/>
      <c r="P97" s="7" t="s">
        <v>317</v>
      </c>
      <c r="Q97" s="7" t="s">
        <v>124</v>
      </c>
      <c r="R97" s="7" t="s">
        <v>23</v>
      </c>
      <c r="S97" s="7" t="n">
        <v>0</v>
      </c>
      <c r="T97" s="11" t="n">
        <v>0</v>
      </c>
      <c r="U97" s="12" t="n">
        <v>1</v>
      </c>
    </row>
    <row r="98" customFormat="false" ht="15" hidden="false" customHeight="true" outlineLevel="0" collapsed="false">
      <c r="A98" s="7" t="s">
        <v>495</v>
      </c>
      <c r="B98" s="7" t="s">
        <v>209</v>
      </c>
      <c r="C98" s="7" t="s">
        <v>136</v>
      </c>
      <c r="D98" s="7" t="s">
        <v>446</v>
      </c>
      <c r="E98" s="7" t="s">
        <v>210</v>
      </c>
      <c r="F98" s="7" t="s">
        <v>496</v>
      </c>
      <c r="G98" s="7" t="s">
        <v>116</v>
      </c>
      <c r="H98" s="7" t="s">
        <v>448</v>
      </c>
      <c r="I98" s="7" t="s">
        <v>23</v>
      </c>
      <c r="J98" s="7"/>
      <c r="K98" s="7" t="s">
        <v>133</v>
      </c>
      <c r="L98" s="7" t="s">
        <v>120</v>
      </c>
      <c r="M98" s="7" t="s">
        <v>121</v>
      </c>
      <c r="N98" s="7" t="s">
        <v>130</v>
      </c>
      <c r="O98" s="7" t="s">
        <v>121</v>
      </c>
      <c r="P98" s="7" t="s">
        <v>123</v>
      </c>
      <c r="Q98" s="7" t="s">
        <v>124</v>
      </c>
      <c r="R98" s="7" t="s">
        <v>23</v>
      </c>
      <c r="S98" s="7" t="n">
        <v>0</v>
      </c>
      <c r="T98" s="11" t="n">
        <v>0</v>
      </c>
      <c r="U98" s="12" t="n">
        <v>1</v>
      </c>
    </row>
    <row r="99" customFormat="false" ht="15" hidden="false" customHeight="true" outlineLevel="0" collapsed="false">
      <c r="A99" s="7" t="s">
        <v>497</v>
      </c>
      <c r="B99" s="7" t="s">
        <v>231</v>
      </c>
      <c r="C99" s="7" t="s">
        <v>113</v>
      </c>
      <c r="D99" s="7" t="s">
        <v>446</v>
      </c>
      <c r="E99" s="7" t="s">
        <v>232</v>
      </c>
      <c r="F99" s="7" t="s">
        <v>498</v>
      </c>
      <c r="G99" s="7" t="s">
        <v>116</v>
      </c>
      <c r="H99" s="7" t="s">
        <v>448</v>
      </c>
      <c r="I99" s="7" t="s">
        <v>22</v>
      </c>
      <c r="J99" s="7"/>
      <c r="K99" s="7" t="s">
        <v>345</v>
      </c>
      <c r="L99" s="7" t="s">
        <v>120</v>
      </c>
      <c r="M99" s="7" t="s">
        <v>121</v>
      </c>
      <c r="N99" s="7" t="s">
        <v>130</v>
      </c>
      <c r="O99" s="7" t="s">
        <v>121</v>
      </c>
      <c r="P99" s="7" t="s">
        <v>123</v>
      </c>
      <c r="Q99" s="7" t="s">
        <v>124</v>
      </c>
      <c r="R99" s="7" t="s">
        <v>23</v>
      </c>
      <c r="S99" s="7" t="n">
        <v>0</v>
      </c>
      <c r="T99" s="11" t="n">
        <v>0.08</v>
      </c>
      <c r="U99" s="12" t="n">
        <v>1</v>
      </c>
    </row>
    <row r="100" customFormat="false" ht="15" hidden="false" customHeight="true" outlineLevel="0" collapsed="false">
      <c r="A100" s="7" t="s">
        <v>499</v>
      </c>
      <c r="B100" s="7" t="s">
        <v>381</v>
      </c>
      <c r="C100" s="7" t="s">
        <v>113</v>
      </c>
      <c r="D100" s="7" t="s">
        <v>446</v>
      </c>
      <c r="E100" s="7" t="s">
        <v>382</v>
      </c>
      <c r="F100" s="7" t="s">
        <v>500</v>
      </c>
      <c r="G100" s="7" t="s">
        <v>116</v>
      </c>
      <c r="H100" s="7" t="s">
        <v>448</v>
      </c>
      <c r="I100" s="7" t="s">
        <v>23</v>
      </c>
      <c r="J100" s="7"/>
      <c r="K100" s="7" t="s">
        <v>133</v>
      </c>
      <c r="L100" s="7" t="s">
        <v>120</v>
      </c>
      <c r="M100" s="7" t="s">
        <v>121</v>
      </c>
      <c r="N100" s="7" t="s">
        <v>130</v>
      </c>
      <c r="O100" s="7" t="s">
        <v>121</v>
      </c>
      <c r="P100" s="7" t="s">
        <v>123</v>
      </c>
      <c r="Q100" s="7" t="s">
        <v>124</v>
      </c>
      <c r="R100" s="7" t="s">
        <v>23</v>
      </c>
      <c r="S100" s="7" t="n">
        <v>1</v>
      </c>
      <c r="T100" s="11" t="n">
        <v>0.17</v>
      </c>
      <c r="U100" s="12" t="n">
        <v>0.1535</v>
      </c>
    </row>
    <row r="101" customFormat="false" ht="15" hidden="false" customHeight="true" outlineLevel="0" collapsed="false">
      <c r="A101" s="7" t="s">
        <v>501</v>
      </c>
      <c r="B101" s="7" t="s">
        <v>421</v>
      </c>
      <c r="C101" s="7" t="s">
        <v>136</v>
      </c>
      <c r="D101" s="7" t="s">
        <v>446</v>
      </c>
      <c r="E101" s="7" t="s">
        <v>422</v>
      </c>
      <c r="F101" s="7" t="s">
        <v>502</v>
      </c>
      <c r="G101" s="7" t="s">
        <v>116</v>
      </c>
      <c r="H101" s="7" t="s">
        <v>448</v>
      </c>
      <c r="I101" s="7" t="s">
        <v>23</v>
      </c>
      <c r="J101" s="7"/>
      <c r="K101" s="7" t="s">
        <v>133</v>
      </c>
      <c r="L101" s="7" t="s">
        <v>120</v>
      </c>
      <c r="M101" s="7" t="s">
        <v>121</v>
      </c>
      <c r="N101" s="7" t="s">
        <v>157</v>
      </c>
      <c r="O101" s="7" t="s">
        <v>121</v>
      </c>
      <c r="P101" s="7" t="s">
        <v>153</v>
      </c>
      <c r="Q101" s="7" t="s">
        <v>124</v>
      </c>
      <c r="R101" s="7" t="s">
        <v>23</v>
      </c>
      <c r="S101" s="7" t="n">
        <v>1</v>
      </c>
      <c r="T101" s="11" t="n">
        <v>0.08</v>
      </c>
      <c r="U101" s="12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2026-10-28T14:11:06Z</dcterms:created>
  <dc:creator>openpyxl</dc:creator>
  <dc:description/>
  <dc:language>en-US</dc:language>
  <cp:lastModifiedBy/>
  <dcterms:modified xsi:type="dcterms:W3CDTF">2026-10-28T14:11:18Z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